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150b63cd28f3ab/投研/ETF策略/config/"/>
    </mc:Choice>
  </mc:AlternateContent>
  <xr:revisionPtr revIDLastSave="158" documentId="8_{6C220F04-CC5A-40F3-96C8-9D86DEE0275D}" xr6:coauthVersionLast="47" xr6:coauthVersionMax="47" xr10:uidLastSave="{12CBF58F-1DF9-405D-AE5C-CD02F8F65A60}"/>
  <bookViews>
    <workbookView minimized="1" xWindow="5571" yWindow="1894" windowWidth="21960" windowHeight="14426" activeTab="1" xr2:uid="{A65F1A7A-B61A-4B8D-A539-AA0A81FF8429}"/>
  </bookViews>
  <sheets>
    <sheet name="config_export_etf_and_index_raw" sheetId="1" r:id="rId1"/>
    <sheet name="全部ETF处理" sheetId="8" r:id="rId2"/>
    <sheet name="沪深300" sheetId="2" r:id="rId3"/>
  </sheets>
  <externalReferences>
    <externalReference r:id="rId4"/>
  </externalReferences>
  <definedNames>
    <definedName name="_xlnm._FilterDatabase" localSheetId="1" hidden="1">全部ETF处理!$A$1:$C$308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8" l="1"/>
  <c r="B10" i="8"/>
  <c r="B18" i="8"/>
  <c r="B26" i="8"/>
  <c r="C26" i="8"/>
  <c r="B12" i="8"/>
  <c r="E20" i="8"/>
  <c r="D13" i="8"/>
  <c r="B16" i="8"/>
  <c r="B24" i="8"/>
  <c r="C8" i="8"/>
  <c r="C24" i="8"/>
  <c r="D16" i="8"/>
  <c r="E8" i="8"/>
  <c r="B17" i="8"/>
  <c r="D9" i="8"/>
  <c r="C2" i="8"/>
  <c r="C10" i="8"/>
  <c r="C18" i="8"/>
  <c r="D19" i="8"/>
  <c r="E11" i="8"/>
  <c r="C20" i="8"/>
  <c r="D20" i="8"/>
  <c r="E13" i="8"/>
  <c r="C22" i="8"/>
  <c r="D6" i="8"/>
  <c r="B7" i="8"/>
  <c r="D2" i="8"/>
  <c r="D10" i="8"/>
  <c r="D18" i="8"/>
  <c r="D26" i="8"/>
  <c r="E26" i="8"/>
  <c r="B11" i="8"/>
  <c r="B20" i="8"/>
  <c r="B6" i="8"/>
  <c r="B14" i="8"/>
  <c r="D14" i="8"/>
  <c r="E2" i="8"/>
  <c r="E10" i="8"/>
  <c r="E18" i="8"/>
  <c r="B19" i="8"/>
  <c r="E19" i="8"/>
  <c r="D12" i="8"/>
  <c r="C23" i="8"/>
  <c r="E17" i="8"/>
  <c r="B3" i="8"/>
  <c r="C3" i="8"/>
  <c r="C11" i="8"/>
  <c r="C19" i="8"/>
  <c r="D11" i="8"/>
  <c r="B21" i="8"/>
  <c r="C21" i="8"/>
  <c r="C14" i="8"/>
  <c r="E22" i="8"/>
  <c r="B15" i="8"/>
  <c r="D3" i="8"/>
  <c r="D22" i="8"/>
  <c r="D23" i="8"/>
  <c r="E3" i="8"/>
  <c r="E5" i="8"/>
  <c r="E21" i="8"/>
  <c r="E14" i="8"/>
  <c r="B23" i="8"/>
  <c r="C7" i="8"/>
  <c r="C15" i="8"/>
  <c r="C16" i="8"/>
  <c r="D8" i="8"/>
  <c r="D24" i="8"/>
  <c r="E24" i="8"/>
  <c r="B9" i="8"/>
  <c r="C9" i="8"/>
  <c r="E25" i="8"/>
  <c r="B4" i="8"/>
  <c r="B8" i="8"/>
  <c r="C4" i="8"/>
  <c r="C12" i="8"/>
  <c r="D5" i="8"/>
  <c r="C6" i="8"/>
  <c r="D4" i="8"/>
  <c r="C5" i="8"/>
  <c r="E16" i="8"/>
  <c r="E4" i="8"/>
  <c r="E12" i="8"/>
  <c r="E7" i="8"/>
  <c r="D25" i="8"/>
  <c r="B5" i="8"/>
  <c r="B13" i="8"/>
  <c r="C13" i="8"/>
  <c r="D17" i="8"/>
  <c r="D21" i="8"/>
  <c r="E23" i="8"/>
  <c r="C25" i="8"/>
  <c r="B22" i="8"/>
  <c r="B25" i="8"/>
  <c r="C17" i="8"/>
  <c r="E6" i="8"/>
  <c r="E15" i="8"/>
  <c r="D7" i="8"/>
  <c r="D15" i="8"/>
  <c r="E9" i="8"/>
  <c r="K8" i="2"/>
  <c r="O8" i="2"/>
  <c r="O5" i="2"/>
  <c r="K5" i="2"/>
  <c r="D35" i="8"/>
  <c r="D51" i="8"/>
  <c r="D67" i="8"/>
  <c r="D83" i="8"/>
  <c r="D99" i="8"/>
  <c r="D115" i="8"/>
  <c r="D131" i="8"/>
  <c r="D147" i="8"/>
  <c r="D163" i="8"/>
  <c r="D179" i="8"/>
  <c r="D195" i="8"/>
  <c r="D211" i="8"/>
  <c r="D227" i="8"/>
  <c r="D243" i="8"/>
  <c r="D259" i="8"/>
  <c r="D275" i="8"/>
  <c r="D291" i="8"/>
  <c r="D307" i="8"/>
  <c r="D36" i="8"/>
  <c r="D52" i="8"/>
  <c r="D68" i="8"/>
  <c r="D84" i="8"/>
  <c r="D116" i="8"/>
  <c r="D132" i="8"/>
  <c r="D164" i="8"/>
  <c r="D180" i="8"/>
  <c r="D196" i="8"/>
  <c r="D244" i="8"/>
  <c r="D292" i="8"/>
  <c r="E116" i="8"/>
  <c r="E148" i="8"/>
  <c r="E212" i="8"/>
  <c r="E276" i="8"/>
  <c r="D37" i="8"/>
  <c r="D69" i="8"/>
  <c r="D133" i="8"/>
  <c r="D165" i="8"/>
  <c r="D197" i="8"/>
  <c r="D245" i="8"/>
  <c r="D277" i="8"/>
  <c r="D293" i="8"/>
  <c r="E37" i="8"/>
  <c r="E53" i="8"/>
  <c r="E85" i="8"/>
  <c r="E117" i="8"/>
  <c r="E133" i="8"/>
  <c r="E165" i="8"/>
  <c r="E197" i="8"/>
  <c r="E213" i="8"/>
  <c r="E229" i="8"/>
  <c r="E261" i="8"/>
  <c r="E277" i="8"/>
  <c r="D38" i="8"/>
  <c r="D54" i="8"/>
  <c r="D70" i="8"/>
  <c r="D102" i="8"/>
  <c r="D118" i="8"/>
  <c r="D150" i="8"/>
  <c r="D166" i="8"/>
  <c r="D182" i="8"/>
  <c r="D214" i="8"/>
  <c r="D278" i="8"/>
  <c r="E54" i="8"/>
  <c r="E70" i="8"/>
  <c r="E86" i="8"/>
  <c r="E118" i="8"/>
  <c r="E134" i="8"/>
  <c r="E166" i="8"/>
  <c r="E198" i="8"/>
  <c r="E214" i="8"/>
  <c r="E230" i="8"/>
  <c r="E246" i="8"/>
  <c r="E278" i="8"/>
  <c r="E294" i="8"/>
  <c r="D55" i="8"/>
  <c r="D87" i="8"/>
  <c r="D135" i="8"/>
  <c r="D199" i="8"/>
  <c r="D295" i="8"/>
  <c r="E71" i="8"/>
  <c r="E87" i="8"/>
  <c r="E167" i="8"/>
  <c r="E215" i="8"/>
  <c r="E247" i="8"/>
  <c r="D40" i="8"/>
  <c r="D168" i="8"/>
  <c r="D216" i="8"/>
  <c r="D280" i="8"/>
  <c r="D296" i="8"/>
  <c r="E120" i="8"/>
  <c r="E152" i="8"/>
  <c r="E184" i="8"/>
  <c r="E216" i="8"/>
  <c r="E248" i="8"/>
  <c r="E296" i="8"/>
  <c r="D57" i="8"/>
  <c r="D73" i="8"/>
  <c r="E35" i="8"/>
  <c r="E51" i="8"/>
  <c r="E67" i="8"/>
  <c r="E83" i="8"/>
  <c r="E99" i="8"/>
  <c r="E115" i="8"/>
  <c r="E131" i="8"/>
  <c r="E147" i="8"/>
  <c r="E163" i="8"/>
  <c r="E179" i="8"/>
  <c r="E195" i="8"/>
  <c r="E211" i="8"/>
  <c r="E227" i="8"/>
  <c r="E243" i="8"/>
  <c r="E259" i="8"/>
  <c r="E275" i="8"/>
  <c r="E291" i="8"/>
  <c r="E307" i="8"/>
  <c r="D100" i="8"/>
  <c r="D148" i="8"/>
  <c r="D212" i="8"/>
  <c r="D228" i="8"/>
  <c r="D260" i="8"/>
  <c r="D276" i="8"/>
  <c r="D308" i="8"/>
  <c r="E36" i="8"/>
  <c r="E52" i="8"/>
  <c r="E68" i="8"/>
  <c r="E84" i="8"/>
  <c r="E100" i="8"/>
  <c r="E132" i="8"/>
  <c r="E164" i="8"/>
  <c r="E180" i="8"/>
  <c r="E196" i="8"/>
  <c r="E228" i="8"/>
  <c r="E244" i="8"/>
  <c r="E260" i="8"/>
  <c r="E292" i="8"/>
  <c r="E308" i="8"/>
  <c r="D53" i="8"/>
  <c r="D85" i="8"/>
  <c r="D101" i="8"/>
  <c r="D117" i="8"/>
  <c r="D149" i="8"/>
  <c r="D181" i="8"/>
  <c r="D213" i="8"/>
  <c r="D229" i="8"/>
  <c r="D261" i="8"/>
  <c r="E69" i="8"/>
  <c r="E101" i="8"/>
  <c r="E149" i="8"/>
  <c r="E181" i="8"/>
  <c r="E245" i="8"/>
  <c r="E293" i="8"/>
  <c r="D86" i="8"/>
  <c r="D134" i="8"/>
  <c r="D198" i="8"/>
  <c r="D230" i="8"/>
  <c r="D246" i="8"/>
  <c r="D262" i="8"/>
  <c r="D294" i="8"/>
  <c r="E38" i="8"/>
  <c r="E102" i="8"/>
  <c r="E150" i="8"/>
  <c r="E182" i="8"/>
  <c r="E262" i="8"/>
  <c r="D39" i="8"/>
  <c r="D71" i="8"/>
  <c r="D103" i="8"/>
  <c r="D119" i="8"/>
  <c r="D151" i="8"/>
  <c r="D167" i="8"/>
  <c r="D183" i="8"/>
  <c r="D215" i="8"/>
  <c r="D231" i="8"/>
  <c r="D247" i="8"/>
  <c r="D263" i="8"/>
  <c r="D279" i="8"/>
  <c r="E39" i="8"/>
  <c r="E55" i="8"/>
  <c r="E103" i="8"/>
  <c r="E119" i="8"/>
  <c r="E135" i="8"/>
  <c r="E151" i="8"/>
  <c r="E183" i="8"/>
  <c r="E199" i="8"/>
  <c r="E231" i="8"/>
  <c r="E263" i="8"/>
  <c r="E279" i="8"/>
  <c r="E295" i="8"/>
  <c r="D56" i="8"/>
  <c r="D72" i="8"/>
  <c r="D88" i="8"/>
  <c r="D104" i="8"/>
  <c r="D120" i="8"/>
  <c r="D136" i="8"/>
  <c r="D152" i="8"/>
  <c r="D184" i="8"/>
  <c r="D200" i="8"/>
  <c r="D232" i="8"/>
  <c r="D248" i="8"/>
  <c r="D264" i="8"/>
  <c r="E40" i="8"/>
  <c r="E56" i="8"/>
  <c r="E72" i="8"/>
  <c r="E88" i="8"/>
  <c r="E104" i="8"/>
  <c r="E136" i="8"/>
  <c r="E168" i="8"/>
  <c r="E200" i="8"/>
  <c r="E232" i="8"/>
  <c r="E264" i="8"/>
  <c r="E280" i="8"/>
  <c r="D28" i="8"/>
  <c r="D44" i="8"/>
  <c r="D60" i="8"/>
  <c r="D76" i="8"/>
  <c r="D92" i="8"/>
  <c r="D108" i="8"/>
  <c r="D124" i="8"/>
  <c r="D140" i="8"/>
  <c r="D156" i="8"/>
  <c r="D172" i="8"/>
  <c r="D188" i="8"/>
  <c r="D204" i="8"/>
  <c r="D220" i="8"/>
  <c r="D236" i="8"/>
  <c r="D252" i="8"/>
  <c r="D268" i="8"/>
  <c r="D284" i="8"/>
  <c r="D300" i="8"/>
  <c r="E28" i="8"/>
  <c r="E44" i="8"/>
  <c r="E60" i="8"/>
  <c r="E76" i="8"/>
  <c r="E92" i="8"/>
  <c r="E108" i="8"/>
  <c r="E124" i="8"/>
  <c r="E140" i="8"/>
  <c r="E156" i="8"/>
  <c r="E172" i="8"/>
  <c r="E188" i="8"/>
  <c r="E204" i="8"/>
  <c r="E220" i="8"/>
  <c r="E236" i="8"/>
  <c r="E252" i="8"/>
  <c r="E268" i="8"/>
  <c r="E284" i="8"/>
  <c r="E300" i="8"/>
  <c r="D29" i="8"/>
  <c r="D45" i="8"/>
  <c r="D61" i="8"/>
  <c r="D77" i="8"/>
  <c r="D93" i="8"/>
  <c r="D109" i="8"/>
  <c r="D125" i="8"/>
  <c r="D141" i="8"/>
  <c r="D157" i="8"/>
  <c r="D173" i="8"/>
  <c r="D189" i="8"/>
  <c r="D205" i="8"/>
  <c r="D221" i="8"/>
  <c r="D237" i="8"/>
  <c r="D253" i="8"/>
  <c r="D269" i="8"/>
  <c r="D285" i="8"/>
  <c r="D301" i="8"/>
  <c r="E29" i="8"/>
  <c r="E45" i="8"/>
  <c r="E61" i="8"/>
  <c r="E77" i="8"/>
  <c r="E93" i="8"/>
  <c r="E109" i="8"/>
  <c r="E125" i="8"/>
  <c r="E141" i="8"/>
  <c r="E157" i="8"/>
  <c r="E173" i="8"/>
  <c r="E189" i="8"/>
  <c r="E205" i="8"/>
  <c r="E221" i="8"/>
  <c r="E237" i="8"/>
  <c r="E253" i="8"/>
  <c r="E269" i="8"/>
  <c r="E285" i="8"/>
  <c r="E301" i="8"/>
  <c r="D30" i="8"/>
  <c r="D46" i="8"/>
  <c r="D62" i="8"/>
  <c r="D78" i="8"/>
  <c r="D94" i="8"/>
  <c r="D110" i="8"/>
  <c r="D126" i="8"/>
  <c r="D142" i="8"/>
  <c r="D158" i="8"/>
  <c r="D174" i="8"/>
  <c r="D190" i="8"/>
  <c r="D206" i="8"/>
  <c r="D222" i="8"/>
  <c r="D238" i="8"/>
  <c r="D254" i="8"/>
  <c r="D270" i="8"/>
  <c r="D286" i="8"/>
  <c r="D302" i="8"/>
  <c r="E30" i="8"/>
  <c r="E46" i="8"/>
  <c r="E62" i="8"/>
  <c r="E78" i="8"/>
  <c r="E94" i="8"/>
  <c r="E110" i="8"/>
  <c r="E126" i="8"/>
  <c r="E142" i="8"/>
  <c r="E158" i="8"/>
  <c r="E174" i="8"/>
  <c r="E190" i="8"/>
  <c r="E206" i="8"/>
  <c r="E222" i="8"/>
  <c r="E238" i="8"/>
  <c r="E254" i="8"/>
  <c r="E270" i="8"/>
  <c r="E286" i="8"/>
  <c r="E302" i="8"/>
  <c r="D31" i="8"/>
  <c r="D47" i="8"/>
  <c r="E48" i="8"/>
  <c r="E89" i="8"/>
  <c r="E123" i="8"/>
  <c r="E160" i="8"/>
  <c r="E194" i="8"/>
  <c r="E234" i="8"/>
  <c r="E271" i="8"/>
  <c r="E305" i="8"/>
  <c r="D49" i="8"/>
  <c r="D90" i="8"/>
  <c r="D127" i="8"/>
  <c r="D161" i="8"/>
  <c r="D201" i="8"/>
  <c r="D235" i="8"/>
  <c r="D272" i="8"/>
  <c r="D306" i="8"/>
  <c r="E49" i="8"/>
  <c r="E90" i="8"/>
  <c r="E127" i="8"/>
  <c r="E161" i="8"/>
  <c r="E201" i="8"/>
  <c r="E235" i="8"/>
  <c r="E272" i="8"/>
  <c r="E306" i="8"/>
  <c r="D50" i="8"/>
  <c r="D91" i="8"/>
  <c r="D128" i="8"/>
  <c r="D162" i="8"/>
  <c r="D202" i="8"/>
  <c r="D239" i="8"/>
  <c r="D273" i="8"/>
  <c r="E50" i="8"/>
  <c r="E91" i="8"/>
  <c r="E128" i="8"/>
  <c r="E162" i="8"/>
  <c r="E202" i="8"/>
  <c r="E239" i="8"/>
  <c r="E273" i="8"/>
  <c r="E57" i="8"/>
  <c r="D95" i="8"/>
  <c r="D129" i="8"/>
  <c r="D169" i="8"/>
  <c r="D203" i="8"/>
  <c r="D240" i="8"/>
  <c r="D274" i="8"/>
  <c r="D58" i="8"/>
  <c r="E95" i="8"/>
  <c r="E129" i="8"/>
  <c r="E169" i="8"/>
  <c r="E203" i="8"/>
  <c r="E240" i="8"/>
  <c r="E274" i="8"/>
  <c r="E58" i="8"/>
  <c r="D96" i="8"/>
  <c r="D130" i="8"/>
  <c r="D170" i="8"/>
  <c r="D207" i="8"/>
  <c r="D241" i="8"/>
  <c r="D281" i="8"/>
  <c r="D32" i="8"/>
  <c r="E73" i="8"/>
  <c r="E107" i="8"/>
  <c r="E144" i="8"/>
  <c r="E178" i="8"/>
  <c r="E218" i="8"/>
  <c r="E255" i="8"/>
  <c r="E289" i="8"/>
  <c r="E32" i="8"/>
  <c r="D74" i="8"/>
  <c r="D111" i="8"/>
  <c r="D145" i="8"/>
  <c r="D185" i="8"/>
  <c r="D219" i="8"/>
  <c r="D256" i="8"/>
  <c r="D290" i="8"/>
  <c r="D33" i="8"/>
  <c r="E74" i="8"/>
  <c r="E111" i="8"/>
  <c r="E145" i="8"/>
  <c r="E185" i="8"/>
  <c r="E219" i="8"/>
  <c r="E256" i="8"/>
  <c r="E290" i="8"/>
  <c r="E33" i="8"/>
  <c r="D75" i="8"/>
  <c r="D112" i="8"/>
  <c r="D146" i="8"/>
  <c r="D186" i="8"/>
  <c r="D223" i="8"/>
  <c r="D257" i="8"/>
  <c r="D297" i="8"/>
  <c r="D34" i="8"/>
  <c r="E75" i="8"/>
  <c r="E112" i="8"/>
  <c r="E146" i="8"/>
  <c r="E186" i="8"/>
  <c r="E223" i="8"/>
  <c r="E257" i="8"/>
  <c r="E297" i="8"/>
  <c r="E34" i="8"/>
  <c r="D79" i="8"/>
  <c r="D113" i="8"/>
  <c r="D153" i="8"/>
  <c r="D187" i="8"/>
  <c r="D224" i="8"/>
  <c r="D258" i="8"/>
  <c r="D298" i="8"/>
  <c r="D41" i="8"/>
  <c r="E79" i="8"/>
  <c r="E113" i="8"/>
  <c r="E153" i="8"/>
  <c r="E187" i="8"/>
  <c r="E224" i="8"/>
  <c r="E258" i="8"/>
  <c r="E298" i="8"/>
  <c r="E41" i="8"/>
  <c r="D80" i="8"/>
  <c r="D114" i="8"/>
  <c r="D154" i="8"/>
  <c r="D191" i="8"/>
  <c r="D225" i="8"/>
  <c r="D265" i="8"/>
  <c r="D299" i="8"/>
  <c r="D42" i="8"/>
  <c r="E80" i="8"/>
  <c r="E114" i="8"/>
  <c r="E154" i="8"/>
  <c r="E191" i="8"/>
  <c r="E225" i="8"/>
  <c r="E265" i="8"/>
  <c r="E299" i="8"/>
  <c r="E42" i="8"/>
  <c r="D81" i="8"/>
  <c r="D121" i="8"/>
  <c r="D155" i="8"/>
  <c r="D192" i="8"/>
  <c r="D226" i="8"/>
  <c r="D266" i="8"/>
  <c r="D303" i="8"/>
  <c r="D43" i="8"/>
  <c r="E81" i="8"/>
  <c r="E121" i="8"/>
  <c r="E155" i="8"/>
  <c r="E192" i="8"/>
  <c r="E226" i="8"/>
  <c r="E266" i="8"/>
  <c r="E303" i="8"/>
  <c r="E43" i="8"/>
  <c r="D82" i="8"/>
  <c r="D122" i="8"/>
  <c r="D159" i="8"/>
  <c r="D193" i="8"/>
  <c r="D233" i="8"/>
  <c r="D267" i="8"/>
  <c r="D304" i="8"/>
  <c r="E47" i="8"/>
  <c r="E82" i="8"/>
  <c r="E122" i="8"/>
  <c r="E159" i="8"/>
  <c r="E193" i="8"/>
  <c r="E233" i="8"/>
  <c r="E267" i="8"/>
  <c r="E304" i="8"/>
  <c r="D48" i="8"/>
  <c r="D89" i="8"/>
  <c r="D123" i="8"/>
  <c r="D160" i="8"/>
  <c r="D194" i="8"/>
  <c r="D234" i="8"/>
  <c r="D271" i="8"/>
  <c r="D305" i="8"/>
  <c r="D59" i="8"/>
  <c r="E96" i="8"/>
  <c r="E130" i="8"/>
  <c r="E170" i="8"/>
  <c r="E207" i="8"/>
  <c r="E241" i="8"/>
  <c r="E281" i="8"/>
  <c r="E59" i="8"/>
  <c r="D97" i="8"/>
  <c r="D137" i="8"/>
  <c r="D171" i="8"/>
  <c r="D208" i="8"/>
  <c r="D242" i="8"/>
  <c r="D282" i="8"/>
  <c r="E171" i="8"/>
  <c r="D175" i="8"/>
  <c r="E175" i="8"/>
  <c r="D176" i="8"/>
  <c r="E176" i="8"/>
  <c r="D27" i="8"/>
  <c r="D177" i="8"/>
  <c r="E27" i="8"/>
  <c r="E177" i="8"/>
  <c r="E31" i="8"/>
  <c r="D178" i="8"/>
  <c r="D63" i="8"/>
  <c r="E208" i="8"/>
  <c r="E63" i="8"/>
  <c r="D209" i="8"/>
  <c r="D64" i="8"/>
  <c r="E209" i="8"/>
  <c r="E64" i="8"/>
  <c r="D210" i="8"/>
  <c r="D65" i="8"/>
  <c r="E210" i="8"/>
  <c r="E65" i="8"/>
  <c r="D217" i="8"/>
  <c r="D66" i="8"/>
  <c r="E217" i="8"/>
  <c r="E66" i="8"/>
  <c r="D218" i="8"/>
  <c r="E97" i="8"/>
  <c r="E242" i="8"/>
  <c r="D98" i="8"/>
  <c r="D249" i="8"/>
  <c r="E98" i="8"/>
  <c r="E249" i="8"/>
  <c r="D105" i="8"/>
  <c r="D250" i="8"/>
  <c r="E105" i="8"/>
  <c r="E250" i="8"/>
  <c r="D106" i="8"/>
  <c r="D251" i="8"/>
  <c r="E106" i="8"/>
  <c r="E251" i="8"/>
  <c r="D255" i="8"/>
  <c r="E137" i="8"/>
  <c r="E282" i="8"/>
  <c r="D138" i="8"/>
  <c r="D283" i="8"/>
  <c r="E138" i="8"/>
  <c r="D139" i="8"/>
  <c r="E139" i="8"/>
  <c r="E287" i="8"/>
  <c r="D288" i="8"/>
  <c r="D144" i="8"/>
  <c r="D107" i="8"/>
  <c r="E283" i="8"/>
  <c r="D287" i="8"/>
  <c r="D143" i="8"/>
  <c r="E143" i="8"/>
  <c r="E288" i="8"/>
  <c r="D289" i="8"/>
  <c r="C47" i="8"/>
  <c r="C106" i="8"/>
  <c r="C137" i="8"/>
  <c r="C162" i="8"/>
  <c r="C187" i="8"/>
  <c r="C219" i="8"/>
  <c r="C251" i="8"/>
  <c r="C282" i="8"/>
  <c r="C48" i="8"/>
  <c r="C107" i="8"/>
  <c r="C138" i="8"/>
  <c r="C163" i="8"/>
  <c r="C188" i="8"/>
  <c r="C220" i="8"/>
  <c r="C252" i="8"/>
  <c r="C283" i="8"/>
  <c r="C27" i="8"/>
  <c r="C49" i="8"/>
  <c r="C77" i="8"/>
  <c r="C108" i="8"/>
  <c r="C164" i="8"/>
  <c r="C189" i="8"/>
  <c r="C221" i="8"/>
  <c r="C253" i="8"/>
  <c r="C284" i="8"/>
  <c r="C50" i="8"/>
  <c r="C78" i="8"/>
  <c r="C109" i="8"/>
  <c r="C165" i="8"/>
  <c r="C190" i="8"/>
  <c r="C222" i="8"/>
  <c r="C254" i="8"/>
  <c r="C285" i="8"/>
  <c r="C28" i="8"/>
  <c r="C51" i="8"/>
  <c r="C79" i="8"/>
  <c r="C110" i="8"/>
  <c r="C166" i="8"/>
  <c r="C191" i="8"/>
  <c r="C223" i="8"/>
  <c r="C255" i="8"/>
  <c r="C286" i="8"/>
  <c r="C29" i="8"/>
  <c r="C52" i="8"/>
  <c r="C80" i="8"/>
  <c r="C111" i="8"/>
  <c r="C139" i="8"/>
  <c r="C167" i="8"/>
  <c r="C192" i="8"/>
  <c r="C224" i="8"/>
  <c r="C256" i="8"/>
  <c r="C287" i="8"/>
  <c r="C30" i="8"/>
  <c r="C53" i="8"/>
  <c r="C81" i="8"/>
  <c r="C112" i="8"/>
  <c r="C140" i="8"/>
  <c r="C168" i="8"/>
  <c r="C193" i="8"/>
  <c r="C225" i="8"/>
  <c r="C257" i="8"/>
  <c r="C288" i="8"/>
  <c r="C31" i="8"/>
  <c r="C54" i="8"/>
  <c r="C82" i="8"/>
  <c r="C113" i="8"/>
  <c r="C169" i="8"/>
  <c r="C194" i="8"/>
  <c r="C226" i="8"/>
  <c r="C258" i="8"/>
  <c r="C289" i="8"/>
  <c r="C83" i="8"/>
  <c r="C114" i="8"/>
  <c r="C170" i="8"/>
  <c r="C195" i="8"/>
  <c r="C227" i="8"/>
  <c r="C259" i="8"/>
  <c r="C290" i="8"/>
  <c r="C32" i="8"/>
  <c r="C55" i="8"/>
  <c r="C115" i="8"/>
  <c r="C141" i="8"/>
  <c r="C171" i="8"/>
  <c r="C196" i="8"/>
  <c r="C228" i="8"/>
  <c r="C260" i="8"/>
  <c r="C291" i="8"/>
  <c r="C33" i="8"/>
  <c r="C56" i="8"/>
  <c r="C84" i="8"/>
  <c r="C116" i="8"/>
  <c r="C142" i="8"/>
  <c r="C172" i="8"/>
  <c r="C197" i="8"/>
  <c r="C229" i="8"/>
  <c r="C261" i="8"/>
  <c r="C292" i="8"/>
  <c r="C34" i="8"/>
  <c r="C57" i="8"/>
  <c r="C85" i="8"/>
  <c r="C117" i="8"/>
  <c r="C64" i="8"/>
  <c r="C92" i="8"/>
  <c r="C123" i="8"/>
  <c r="C148" i="8"/>
  <c r="C179" i="8"/>
  <c r="C205" i="8"/>
  <c r="C237" i="8"/>
  <c r="C268" i="8"/>
  <c r="C300" i="8"/>
  <c r="C125" i="8"/>
  <c r="C207" i="8"/>
  <c r="C270" i="8"/>
  <c r="C67" i="8"/>
  <c r="C126" i="8"/>
  <c r="C208" i="8"/>
  <c r="C39" i="8"/>
  <c r="C96" i="8"/>
  <c r="C127" i="8"/>
  <c r="C152" i="8"/>
  <c r="C209" i="8"/>
  <c r="C241" i="8"/>
  <c r="C272" i="8"/>
  <c r="C304" i="8"/>
  <c r="C65" i="8"/>
  <c r="C93" i="8"/>
  <c r="C124" i="8"/>
  <c r="C149" i="8"/>
  <c r="C206" i="8"/>
  <c r="C238" i="8"/>
  <c r="C269" i="8"/>
  <c r="C301" i="8"/>
  <c r="C66" i="8"/>
  <c r="C94" i="8"/>
  <c r="C150" i="8"/>
  <c r="C239" i="8"/>
  <c r="C302" i="8"/>
  <c r="C95" i="8"/>
  <c r="C151" i="8"/>
  <c r="C180" i="8"/>
  <c r="C240" i="8"/>
  <c r="C271" i="8"/>
  <c r="C303" i="8"/>
  <c r="C68" i="8"/>
  <c r="C61" i="8"/>
  <c r="C122" i="8"/>
  <c r="C242" i="8"/>
  <c r="C305" i="8"/>
  <c r="C62" i="8"/>
  <c r="C128" i="8"/>
  <c r="C243" i="8"/>
  <c r="C306" i="8"/>
  <c r="C63" i="8"/>
  <c r="C129" i="8"/>
  <c r="C244" i="8"/>
  <c r="C307" i="8"/>
  <c r="C69" i="8"/>
  <c r="C130" i="8"/>
  <c r="C181" i="8"/>
  <c r="C245" i="8"/>
  <c r="C308" i="8"/>
  <c r="C70" i="8"/>
  <c r="C131" i="8"/>
  <c r="C182" i="8"/>
  <c r="C246" i="8"/>
  <c r="C71" i="8"/>
  <c r="C132" i="8"/>
  <c r="C183" i="8"/>
  <c r="C247" i="8"/>
  <c r="C72" i="8"/>
  <c r="C133" i="8"/>
  <c r="C184" i="8"/>
  <c r="C248" i="8"/>
  <c r="C73" i="8"/>
  <c r="C134" i="8"/>
  <c r="C185" i="8"/>
  <c r="C249" i="8"/>
  <c r="C74" i="8"/>
  <c r="C135" i="8"/>
  <c r="C186" i="8"/>
  <c r="C250" i="8"/>
  <c r="C75" i="8"/>
  <c r="C136" i="8"/>
  <c r="C198" i="8"/>
  <c r="C262" i="8"/>
  <c r="C76" i="8"/>
  <c r="C199" i="8"/>
  <c r="C263" i="8"/>
  <c r="C143" i="8"/>
  <c r="C200" i="8"/>
  <c r="C264" i="8"/>
  <c r="C86" i="8"/>
  <c r="C144" i="8"/>
  <c r="C201" i="8"/>
  <c r="C265" i="8"/>
  <c r="C145" i="8"/>
  <c r="C202" i="8"/>
  <c r="C35" i="8"/>
  <c r="C88" i="8"/>
  <c r="C203" i="8"/>
  <c r="C36" i="8"/>
  <c r="C89" i="8"/>
  <c r="C147" i="8"/>
  <c r="C267" i="8"/>
  <c r="C37" i="8"/>
  <c r="C153" i="8"/>
  <c r="C38" i="8"/>
  <c r="C211" i="8"/>
  <c r="C274" i="8"/>
  <c r="C103" i="8"/>
  <c r="C281" i="8"/>
  <c r="C43" i="8"/>
  <c r="C230" i="8"/>
  <c r="C44" i="8"/>
  <c r="C118" i="8"/>
  <c r="C46" i="8"/>
  <c r="C297" i="8"/>
  <c r="C178" i="8"/>
  <c r="C87" i="8"/>
  <c r="C266" i="8"/>
  <c r="C146" i="8"/>
  <c r="C204" i="8"/>
  <c r="C90" i="8"/>
  <c r="C210" i="8"/>
  <c r="C273" i="8"/>
  <c r="C91" i="8"/>
  <c r="C154" i="8"/>
  <c r="C217" i="8"/>
  <c r="C42" i="8"/>
  <c r="C104" i="8"/>
  <c r="C293" i="8"/>
  <c r="C173" i="8"/>
  <c r="C294" i="8"/>
  <c r="C232" i="8"/>
  <c r="C119" i="8"/>
  <c r="C233" i="8"/>
  <c r="C176" i="8"/>
  <c r="C234" i="8"/>
  <c r="C59" i="8"/>
  <c r="C120" i="8"/>
  <c r="C298" i="8"/>
  <c r="C299" i="8"/>
  <c r="C97" i="8"/>
  <c r="C155" i="8"/>
  <c r="C212" i="8"/>
  <c r="C275" i="8"/>
  <c r="C98" i="8"/>
  <c r="C156" i="8"/>
  <c r="C213" i="8"/>
  <c r="C276" i="8"/>
  <c r="C99" i="8"/>
  <c r="C157" i="8"/>
  <c r="C214" i="8"/>
  <c r="C277" i="8"/>
  <c r="C100" i="8"/>
  <c r="C158" i="8"/>
  <c r="C215" i="8"/>
  <c r="C278" i="8"/>
  <c r="C40" i="8"/>
  <c r="C101" i="8"/>
  <c r="C159" i="8"/>
  <c r="C216" i="8"/>
  <c r="C279" i="8"/>
  <c r="C41" i="8"/>
  <c r="C102" i="8"/>
  <c r="C160" i="8"/>
  <c r="C280" i="8"/>
  <c r="C161" i="8"/>
  <c r="C218" i="8"/>
  <c r="C105" i="8"/>
  <c r="C231" i="8"/>
  <c r="C45" i="8"/>
  <c r="C174" i="8"/>
  <c r="C295" i="8"/>
  <c r="C175" i="8"/>
  <c r="C296" i="8"/>
  <c r="C58" i="8"/>
  <c r="C177" i="8"/>
  <c r="C235" i="8"/>
  <c r="C60" i="8"/>
  <c r="C121" i="8"/>
  <c r="C236" i="8"/>
  <c r="B107" i="8"/>
  <c r="B112" i="8"/>
  <c r="B121" i="8"/>
  <c r="B168" i="8"/>
  <c r="B210" i="8"/>
  <c r="B66" i="8"/>
  <c r="B114" i="8"/>
  <c r="B169" i="8"/>
  <c r="B183" i="8"/>
  <c r="B202" i="8"/>
  <c r="B251" i="8"/>
  <c r="B265" i="8"/>
  <c r="B271" i="8"/>
  <c r="B44" i="8"/>
  <c r="B135" i="8"/>
  <c r="B160" i="8"/>
  <c r="B198" i="8"/>
  <c r="B225" i="8"/>
  <c r="B235" i="8"/>
  <c r="B253" i="8"/>
  <c r="B275" i="8"/>
  <c r="B290" i="8"/>
  <c r="B93" i="8"/>
  <c r="B109" i="8"/>
  <c r="B122" i="8"/>
  <c r="B187" i="8"/>
  <c r="B243" i="8"/>
  <c r="B254" i="8"/>
  <c r="B291" i="8"/>
  <c r="B305" i="8"/>
  <c r="B46" i="8"/>
  <c r="B96" i="8"/>
  <c r="B110" i="8"/>
  <c r="B131" i="8"/>
  <c r="B172" i="8"/>
  <c r="B188" i="8"/>
  <c r="B292" i="8"/>
  <c r="B149" i="8"/>
  <c r="B161" i="8"/>
  <c r="B199" i="8"/>
  <c r="B207" i="8"/>
  <c r="B226" i="8"/>
  <c r="B293" i="8"/>
  <c r="B42" i="8"/>
  <c r="B67" i="8"/>
  <c r="B97" i="8"/>
  <c r="B136" i="8"/>
  <c r="B217" i="8"/>
  <c r="B255" i="8"/>
  <c r="B294" i="8"/>
  <c r="B43" i="8"/>
  <c r="B50" i="8"/>
  <c r="B68" i="8"/>
  <c r="B98" i="8"/>
  <c r="B63" i="8"/>
  <c r="B126" i="8"/>
  <c r="B139" i="8"/>
  <c r="B221" i="8"/>
  <c r="B258" i="8"/>
  <c r="B283" i="8"/>
  <c r="B32" i="8"/>
  <c r="B77" i="8"/>
  <c r="B104" i="8"/>
  <c r="B140" i="8"/>
  <c r="B145" i="8"/>
  <c r="B222" i="8"/>
  <c r="B244" i="8"/>
  <c r="B267" i="8"/>
  <c r="B33" i="8"/>
  <c r="B118" i="8"/>
  <c r="B127" i="8"/>
  <c r="B156" i="8"/>
  <c r="B245" i="8"/>
  <c r="B259" i="8"/>
  <c r="B268" i="8"/>
  <c r="B28" i="8"/>
  <c r="B80" i="8"/>
  <c r="B92" i="8"/>
  <c r="B100" i="8"/>
  <c r="B154" i="8"/>
  <c r="B165" i="8"/>
  <c r="B176" i="8"/>
  <c r="B186" i="8"/>
  <c r="B35" i="8"/>
  <c r="B69" i="8"/>
  <c r="B133" i="8"/>
  <c r="B166" i="8"/>
  <c r="B55" i="8"/>
  <c r="B81" i="8"/>
  <c r="B115" i="8"/>
  <c r="B148" i="8"/>
  <c r="B167" i="8"/>
  <c r="B177" i="8"/>
  <c r="B195" i="8"/>
  <c r="B208" i="8"/>
  <c r="B276" i="8"/>
  <c r="B299" i="8"/>
  <c r="B36" i="8"/>
  <c r="B56" i="8"/>
  <c r="B89" i="8"/>
  <c r="B95" i="8"/>
  <c r="B163" i="8"/>
  <c r="B189" i="8"/>
  <c r="B230" i="8"/>
  <c r="B272" i="8"/>
  <c r="B298" i="8"/>
  <c r="B260" i="8"/>
  <c r="B273" i="8"/>
  <c r="B70" i="8"/>
  <c r="B99" i="8"/>
  <c r="B164" i="8"/>
  <c r="B242" i="8"/>
  <c r="B274" i="8"/>
  <c r="B45" i="8"/>
  <c r="B71" i="8"/>
  <c r="B108" i="8"/>
  <c r="B153" i="8"/>
  <c r="B179" i="8"/>
  <c r="B72" i="8"/>
  <c r="B78" i="8"/>
  <c r="B90" i="8"/>
  <c r="B218" i="8"/>
  <c r="B52" i="8"/>
  <c r="B59" i="8"/>
  <c r="B206" i="8"/>
  <c r="B231" i="8"/>
  <c r="B246" i="8"/>
  <c r="B261" i="8"/>
  <c r="B300" i="8"/>
  <c r="B53" i="8"/>
  <c r="B190" i="8"/>
  <c r="B262" i="8"/>
  <c r="B301" i="8"/>
  <c r="B54" i="8"/>
  <c r="B73" i="8"/>
  <c r="B64" i="8"/>
  <c r="B82" i="8"/>
  <c r="B105" i="8"/>
  <c r="B124" i="8"/>
  <c r="B141" i="8"/>
  <c r="B155" i="8"/>
  <c r="B196" i="8"/>
  <c r="B281" i="8"/>
  <c r="B116" i="8"/>
  <c r="B125" i="8"/>
  <c r="B282" i="8"/>
  <c r="B306" i="8"/>
  <c r="B83" i="8"/>
  <c r="B212" i="8"/>
  <c r="B284" i="8"/>
  <c r="B29" i="8"/>
  <c r="B173" i="8"/>
  <c r="B184" i="8"/>
  <c r="B197" i="8"/>
  <c r="B223" i="8"/>
  <c r="B239" i="8"/>
  <c r="B250" i="8"/>
  <c r="B307" i="8"/>
  <c r="B30" i="8"/>
  <c r="B38" i="8"/>
  <c r="B57" i="8"/>
  <c r="B128" i="8"/>
  <c r="B150" i="8"/>
  <c r="B157" i="8"/>
  <c r="B185" i="8"/>
  <c r="B213" i="8"/>
  <c r="B308" i="8"/>
  <c r="B31" i="8"/>
  <c r="B48" i="8"/>
  <c r="B200" i="8"/>
  <c r="B224" i="8"/>
  <c r="B252" i="8"/>
  <c r="B285" i="8"/>
  <c r="B49" i="8"/>
  <c r="B84" i="8"/>
  <c r="B138" i="8"/>
  <c r="B158" i="8"/>
  <c r="B174" i="8"/>
  <c r="B201" i="8"/>
  <c r="B286" i="8"/>
  <c r="B76" i="8"/>
  <c r="B85" i="8"/>
  <c r="B117" i="8"/>
  <c r="B129" i="8"/>
  <c r="B142" i="8"/>
  <c r="B227" i="8"/>
  <c r="B287" i="8"/>
  <c r="B65" i="8"/>
  <c r="B236" i="8"/>
  <c r="B37" i="8"/>
  <c r="B86" i="8"/>
  <c r="B214" i="8"/>
  <c r="B237" i="8"/>
  <c r="B303" i="8"/>
  <c r="B87" i="8"/>
  <c r="B132" i="8"/>
  <c r="B159" i="8"/>
  <c r="B215" i="8"/>
  <c r="B238" i="8"/>
  <c r="B143" i="8"/>
  <c r="B304" i="8"/>
  <c r="B88" i="8"/>
  <c r="B144" i="8"/>
  <c r="B162" i="8"/>
  <c r="B266" i="8"/>
  <c r="B269" i="8"/>
  <c r="B247" i="8"/>
  <c r="B146" i="8"/>
  <c r="B191" i="8"/>
  <c r="B240" i="8"/>
  <c r="B51" i="8"/>
  <c r="B91" i="8"/>
  <c r="B192" i="8"/>
  <c r="B216" i="8"/>
  <c r="B193" i="8"/>
  <c r="B241" i="8"/>
  <c r="B270" i="8"/>
  <c r="B39" i="8"/>
  <c r="B74" i="8"/>
  <c r="B111" i="8"/>
  <c r="B147" i="8"/>
  <c r="B219" i="8"/>
  <c r="B134" i="8"/>
  <c r="B170" i="8"/>
  <c r="B40" i="8"/>
  <c r="B75" i="8"/>
  <c r="B277" i="8"/>
  <c r="B137" i="8"/>
  <c r="B171" i="8"/>
  <c r="B220" i="8"/>
  <c r="B248" i="8"/>
  <c r="B106" i="8"/>
  <c r="B130" i="8"/>
  <c r="B256" i="8"/>
  <c r="B209" i="8"/>
  <c r="B257" i="8"/>
  <c r="B41" i="8"/>
  <c r="B211" i="8"/>
  <c r="B175" i="8"/>
  <c r="B263" i="8"/>
  <c r="B264" i="8"/>
  <c r="B178" i="8"/>
  <c r="B180" i="8"/>
  <c r="B113" i="8"/>
  <c r="B228" i="8"/>
  <c r="B278" i="8"/>
  <c r="B79" i="8"/>
  <c r="B229" i="8"/>
  <c r="B181" i="8"/>
  <c r="B279" i="8"/>
  <c r="B280" i="8"/>
  <c r="B288" i="8"/>
  <c r="B289" i="8"/>
  <c r="B47" i="8"/>
  <c r="B232" i="8"/>
  <c r="B295" i="8"/>
  <c r="B27" i="8"/>
  <c r="B182" i="8"/>
  <c r="B233" i="8"/>
  <c r="B296" i="8"/>
  <c r="B94" i="8"/>
  <c r="B297" i="8"/>
  <c r="B119" i="8"/>
  <c r="B234" i="8"/>
  <c r="B151" i="8"/>
  <c r="B194" i="8"/>
  <c r="B120" i="8"/>
  <c r="B203" i="8"/>
  <c r="B302" i="8"/>
  <c r="B58" i="8"/>
  <c r="B101" i="8"/>
  <c r="B204" i="8"/>
  <c r="B152" i="8"/>
  <c r="B102" i="8"/>
  <c r="B60" i="8"/>
  <c r="B205" i="8"/>
  <c r="B34" i="8"/>
  <c r="B61" i="8"/>
  <c r="B103" i="8"/>
  <c r="B249" i="8"/>
  <c r="B62" i="8"/>
  <c r="B123" i="8"/>
  <c r="H3" i="1"/>
  <c r="I24" i="1"/>
  <c r="H35" i="1"/>
  <c r="I3" i="1"/>
  <c r="H14" i="1"/>
  <c r="I35" i="1"/>
  <c r="I14" i="1"/>
  <c r="H25" i="1"/>
  <c r="I25" i="1"/>
  <c r="H36" i="1"/>
  <c r="H5" i="1"/>
  <c r="I26" i="1"/>
  <c r="I5" i="1"/>
  <c r="H27" i="1"/>
  <c r="H6" i="1"/>
  <c r="I27" i="1"/>
  <c r="H38" i="1"/>
  <c r="I6" i="1"/>
  <c r="H7" i="1"/>
  <c r="H39" i="1"/>
  <c r="I7" i="1"/>
  <c r="I18" i="1"/>
  <c r="I29" i="1"/>
  <c r="I8" i="1"/>
  <c r="H9" i="1"/>
  <c r="I30" i="1"/>
  <c r="H20" i="1"/>
  <c r="I20" i="1"/>
  <c r="H31" i="1"/>
  <c r="H21" i="1"/>
  <c r="H22" i="1"/>
  <c r="I12" i="1"/>
  <c r="H4" i="1"/>
  <c r="H28" i="1"/>
  <c r="I28" i="1"/>
  <c r="H18" i="1"/>
  <c r="I39" i="1"/>
  <c r="H8" i="1"/>
  <c r="H40" i="1"/>
  <c r="H30" i="1"/>
  <c r="H41" i="1"/>
  <c r="I31" i="1"/>
  <c r="H32" i="1"/>
  <c r="I32" i="1"/>
  <c r="I11" i="1"/>
  <c r="I43" i="1"/>
  <c r="H33" i="1"/>
  <c r="H12" i="1"/>
  <c r="I33" i="1"/>
  <c r="H23" i="1"/>
  <c r="H13" i="1"/>
  <c r="H24" i="1"/>
  <c r="I4" i="1"/>
  <c r="H15" i="1"/>
  <c r="I36" i="1"/>
  <c r="I15" i="1"/>
  <c r="H26" i="1"/>
  <c r="H37" i="1"/>
  <c r="H16" i="1"/>
  <c r="I37" i="1"/>
  <c r="I16" i="1"/>
  <c r="H17" i="1"/>
  <c r="I38" i="1"/>
  <c r="I17" i="1"/>
  <c r="H29" i="1"/>
  <c r="H19" i="1"/>
  <c r="I40" i="1"/>
  <c r="I19" i="1"/>
  <c r="I9" i="1"/>
  <c r="I41" i="1"/>
  <c r="H10" i="1"/>
  <c r="H42" i="1"/>
  <c r="I42" i="1"/>
  <c r="I21" i="1"/>
  <c r="H11" i="1"/>
  <c r="H43" i="1"/>
  <c r="I22" i="1"/>
  <c r="H34" i="1"/>
  <c r="I10" i="1"/>
  <c r="I23" i="1"/>
  <c r="I34" i="1"/>
  <c r="I13" i="1"/>
  <c r="I2" i="1"/>
  <c r="H2" i="1"/>
  <c r="M3" i="2"/>
  <c r="G3" i="2"/>
  <c r="F3" i="2"/>
  <c r="M2" i="2"/>
  <c r="L2" i="2"/>
  <c r="G2" i="2"/>
  <c r="F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E21" i="2"/>
  <c r="E22" i="2"/>
  <c r="E23" i="2"/>
  <c r="E24" i="2"/>
  <c r="E25" i="2"/>
  <c r="E26" i="2"/>
  <c r="E27" i="2"/>
  <c r="E28" i="2"/>
  <c r="E29" i="2"/>
  <c r="E30" i="2"/>
  <c r="E3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" i="2"/>
  <c r="J2" i="1" l="1"/>
  <c r="J34" i="1"/>
  <c r="J43" i="1"/>
  <c r="J11" i="1"/>
  <c r="J42" i="1"/>
  <c r="J10" i="1"/>
  <c r="J19" i="1"/>
  <c r="J29" i="1"/>
  <c r="J17" i="1"/>
  <c r="J16" i="1"/>
  <c r="J37" i="1"/>
  <c r="J26" i="1"/>
  <c r="J15" i="1"/>
  <c r="J24" i="1"/>
  <c r="J13" i="1"/>
  <c r="J23" i="1"/>
  <c r="J12" i="1"/>
  <c r="J33" i="1"/>
  <c r="J32" i="1"/>
  <c r="J41" i="1"/>
  <c r="J30" i="1"/>
  <c r="J40" i="1"/>
  <c r="J8" i="1"/>
  <c r="J18" i="1"/>
  <c r="J28" i="1"/>
  <c r="J4" i="1"/>
  <c r="J22" i="1"/>
  <c r="J21" i="1"/>
  <c r="J31" i="1"/>
  <c r="J20" i="1"/>
  <c r="J9" i="1"/>
  <c r="J39" i="1"/>
  <c r="J7" i="1"/>
  <c r="J38" i="1"/>
  <c r="J6" i="1"/>
  <c r="J27" i="1"/>
  <c r="J5" i="1"/>
  <c r="J36" i="1"/>
  <c r="J25" i="1"/>
  <c r="J14" i="1"/>
  <c r="J35" i="1"/>
  <c r="J3" i="1"/>
  <c r="H2" i="2"/>
  <c r="P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黄沛林</author>
  </authors>
  <commentList>
    <comment ref="B7" authorId="0" shapeId="0" xr:uid="{E3AE5556-B95F-4A94-BB8D-67607AA70FCA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黄沛林</author>
  </authors>
  <commentList>
    <comment ref="K8" authorId="0" shapeId="0" xr:uid="{7BEB1A93-15EE-4821-9280-F3D063F48F19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O8" authorId="0" shapeId="0" xr:uid="{D36A5E7E-6570-4835-817C-9A1434A4F691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<sst xmlns="http://schemas.openxmlformats.org/spreadsheetml/2006/main" count="775" uniqueCount="534">
  <si>
    <t>ETF代码</t>
  </si>
  <si>
    <t>ETF名称</t>
  </si>
  <si>
    <t>Index代码</t>
  </si>
  <si>
    <t>Index名称</t>
  </si>
  <si>
    <t>资产类别</t>
  </si>
  <si>
    <t>是否调用回测[Y/N]</t>
  </si>
  <si>
    <t>全部跟踪该指数的基金</t>
  </si>
  <si>
    <t>510300.SH</t>
  </si>
  <si>
    <t>沪深300ETF</t>
  </si>
  <si>
    <t>000300.SH</t>
  </si>
  <si>
    <t>沪深300</t>
  </si>
  <si>
    <t>Stock</t>
  </si>
  <si>
    <t>Y</t>
  </si>
  <si>
    <t>563360.SH</t>
  </si>
  <si>
    <t>A500ETF华泰柏瑞</t>
  </si>
  <si>
    <t>000510.SH</t>
  </si>
  <si>
    <t>中证A500</t>
  </si>
  <si>
    <t>022688.OF,022689.OF,023876.OF,023341.OF,159360.SZ,022804.OF,022805.OF,022432.OF,023619.OF,023620.OF,022429.OF,022687.OF,022428.OF,022455.OF,159358.SZ,159215.SZ,025126.OF,022426.OF,022449.OF,024650.OF,022745.OF,023514.OF,025035.OF,022904.OF,023880.OF,022706.OF,022707.OF,023516.OF,023982.OF,022820.OF,022821.OF,024376.OF,023957.OF,159226.SZ,024353.OF,024075.OF,024076.OF,022424.OF,022425.OF,560610.SH,023304.OF,023842.OF,023484.OF,024274.OF,022966.OF,022431.OF,022430.OF,022931.OF,023502.OF,159376.SZ,022459.OF,022460.OF,023861.OF,022715.OF,022442.OF,023475.OF,023476.OF,025311.OF,022930.OF,022610.OF,563630.SH,024877.OF,022677.OF,022905.OF,022438.OF,022439.OF,023879.OF,025312.OF,022485.OF,022486.OF,022473.OF,022947.OF,022468.OF,023347.OF,023348.OF,159352.SZ,563600.SH,022469.OF,022467.OF,023342.OF,022894.OF,022971.OF,023331.OF,023332.OF,022444.OF,022445.OF,022697.OF,022698.OF,563650.SH,023544.OF,023545.OF,024275.OF,023877.OF,024878.OF,512050.SH,023494.OF,023495.OF,022942.OF,019510.OF,019511.OF,023399.OF,023400.OF,022902.OF,563360.SH,159339.SZ,560510.SH,022434.OF,023568.OF,023569.OF,022967.OF,023755.OF,023042.OF,023043.OF,2553.T,159361.SZ,159386.SZ,022463.OF,022464.OF,023319.OF,023320.OF,023483.OF,023306.OF,023305.OF,022465.OF,022466.OF,023333.OF,023334.OF,022781.OF,022782.OF,023184.OF,023185.OF,022762.OF,022763.OF,159353.SZ,022443.OF,022470.OF,023863.OF,023864.OF,025675.OF,022665.OF,022666.OF,025276.OF,025277.OF,022938.OF,022918.OF,159359.SZ,024816.OF,023154.OF,025420.OF,023819.OF,023820.OF,023865.OF,159338.SZ,024375.OF,023981.OF,023950.OF,023501.OF,023303.OF,023862.OF,022898.OF,023515.OF,023466.OF,023467.OF,022676.OF,022427.OF,022433.OF,023038.OF,023039.OF,022770.OF,512020.SH,560530.SH,023756.OF,159379.SZ,023522.OF,023523.OF,023669.OF,022435.OF,159351.SZ,023503.OF,023504.OF,563660.SH,024337.OF,023670.OF,022450.OF,022451.OF,022452.OF,024817.OF,024299.OF,512080.SH,023866.OF,024298.OF,023949.OF,159356.SZ,022817.OF,022818.OF,022911.OF,159357.SZ,563860.SH,023298.OF,023299.OF,022800.OF,022801.OF,025935.OF,022746.OF,159362.SZ,023326.OF,023325.OF,023958.OF,022440.OF,022441.OF,563800.SH,563880.SH,159380.SZ,023473.OF,023474.OF,563550.SH,022421.OF,022422.OF,022423.OF,022686.OF,022457.OF,022458.OF,560750.SH,023335.OF,023336.OF,022916.OF,024352.OF,023869.OF,022474.OF,023965.OF,022716.OF,022768.OF,022461.OF,022462.OF,512370.SH,022944.OF,022811.OF,022812.OF,024338.OF,025125.OF,022453.OF,022454.OF,023932.OF,023339.OF,022979.OF,025034.OF,023933.OF,023153.OF,563220.SH,022769.OF,023367.OF,023368.OF,026093.OF,023610.OF,023609.OF,022456.OF,022674.OF,022675.OF,XCSI.DY,XCSI.DF,XCSI.L,023022.OF,022759.OF,023870.OF,022448.OF,023668.OF,022670.OF,022671.OF,022771.OF,563500.SH,023340.OF,023517.OF,159249.SZ,023843.OF,026094.OF,025139.OF,022436.OF,022437.OF,022742.OF,022756.OF,022757.OF,561090.SH,023435.OF,023436.OF,024651.OF,159240.SZ,022982.OF,023023.OF</t>
  </si>
  <si>
    <t>510050.SH</t>
  </si>
  <si>
    <t>上证50ETF</t>
  </si>
  <si>
    <t>000016.SH</t>
  </si>
  <si>
    <t>上证50</t>
  </si>
  <si>
    <t>N</t>
  </si>
  <si>
    <t>510500.SH</t>
  </si>
  <si>
    <t>中证500ETF</t>
  </si>
  <si>
    <t>000905.SH</t>
  </si>
  <si>
    <t>中证500</t>
  </si>
  <si>
    <t>002906.OF,003760.OF,660011.OF,164809.OF,022790.OF,022791.OF,022992.OF,007994.OF,002316.OF,014133.OF,014134.OF,025419.OF,025043.OF,025007.OF,501036.SH,019808.OF,006382.OF,006938.OF,021170.OF,021171.OF,006656.OF,070039.OF,006730.OF,006087.OF,025038.OF,159820.SZ,022921.OF,006594.OF,010992.OF,510530.SH,006611.OF,004945.OF,003761.OF,159500.SZ,010993.OF,515190.SH,515550.SH,510500.SH,005994.OF,023498.OF,510560.SH,023826.OF,023827.OF,008778.OF,008779.OF,007995.OF,560950.SH,022957.OF,012498.OF,008258.OF,013332.OF,510570.SH,022946.OF,563750.SH,001455.OF,016267.OF,018117.OF,590007.OF,022919.OF,159982.SZ,008112.OF,512500.SH,022943.OF,013640.OF,016854.OF,016866.OF,025982.OF,023822.OF,007223.OF,502000.SH,022961.OF,002510.OF,007794.OF,005062.OF,159610.SZ,022988.OF,016865.OF,011964.OF,011965.OF,159968.SZ,016969.OF,007413.OF,016268.OF,012499.OF,001351.OF,000962.OF,007386.OF,002076.OF,162216.SZ,002903.OF,515530.SH,025334.OF,004192.OF,004193.OF,001050.OF,519034.OF,003016.OF,019554.OF,501037.SH,003986.OF,022893.OF,004348.OF,510550.SH,510590.SH,013878.OF,013879.OF,008124.OF,561550.SH,000008.OF,006441.OF,005633.OF,011205.OF,010153.OF,010154.OF,009300.OF,023192.OF,023198.OF,022913.OF,001052.OF,015507.OF,015508.OF,007885.OF,007886.OF,001556.OF,001557.OF,007028.OF,025013.OF,025014.OF,014155.OF,014156.OF,006214.OF,006215.OF,026059.OF,026060.OF,019553.OF,009336.OF,009337.OF,021052.OF,008001.OF,015453.OF,005919.OF,160119.SZ,024179.OF,561350.SH,013119.OF,025111.OF,024556.OF,014587.OF,014588.OF,025418.OF,009004.OF,021852.OF,013233.OF,013234.OF,022958.OF,159922.SZ,010355.OF,006682.OF,016935.OF,010158.OF,021051.OF,009608.OF,008113.OF,023142.OF,022937.OF,022909.OF,007943.OF,009613.OF,014305.OF,014306.OF,006657.OF,012926.OF,022915.OF,002311.OF,012927.OF,009614.OF,563030.SH,005795.OF,024332.OF,024333.OF,019694.OF,006048.OF,024180.OF,005965.OF,005966.OF,008259.OF,005607.OF,018116.OF,006729.OF,160616.SZ,022965.OF,162711.SZ,021186.OF,022311.OF,022312.OF,023821.OF,025335.OF,000478.OF,021059.OF,010157.OF,021185.OF,021175.OF,021176.OF,510580.SH,161017.SZ,012080.OF,012081.OF,001214.OF,018633.OF,018634.OF,007932.OF,001241.OF,014344.OF,014345.OF,010253.OF,009609.OF,510510.SH,007029.OF,005608.OF,007795.OF,016968.OF,023143.OF,512510.SH,022567.OF,002907.OF,561950.SH,013881.OF,008396.OF,008397.OF,006593.OF,159337.SZ,220130.KS,560100.SH,165511.SZ,003578.OF,022953.OF,022819.OF,021887.OF,006440.OF,159678.SZ,013639.OF,159935.SZ,025983.OF,025984.OF,007089.OF,015454.OF,026083.OF,026084.OF</t>
  </si>
  <si>
    <t>159915.SZ</t>
  </si>
  <si>
    <t>创业板ETF易方达</t>
  </si>
  <si>
    <t>399006.SZ</t>
  </si>
  <si>
    <t>创业板指</t>
  </si>
  <si>
    <t>006249.OF,010785.OF,020871.OF,020872.OF,050021.OF,004343.OF,022340.OF,022341.OF,022960.OF,159908.SZ,023381.OF,025171.OF,159915.SZ,159810.SZ,159964.SZ,007664.OF,159958.SZ,024857.OF,160637.SZ,159205.SZ,015673.OF,025376.OF,159948.SZ,163209.OF,025238.OF,159971.SZ,021032.OF,012901.OF,159952.SZ,018370.OF,013443.OF,110026.OF,002656.OF,003765.OF,159808.SZ,007665.OF,005874.OF,021739.OF,009013.OF,159977.SZ,006248.OF,021811.OF,021810.OF,022912.OF,009047.OF,001879.OF,010786.OF,006733.OF,009012.OF,025196.OF,025009.OF,010183.OF,012180.OF,024492.OF,018371.OF,012179.OF,022920.OF,025164.OF,025165.OF,159675.SZ,159821.SZ,015600.OF,024063.OF,012900.OF,159676.SZ,004744.OF,159956.SZ,025377.OF,022952.OF,015795.OF,022907.OF,020870.OF,015794.OF,159957.SZ,010356.OF,005390.OF,005391.OF,003766.OF,009046.OF,009981.OF,024858.OF,001592.OF,009982.OF,001593.OF,CXS.SG,CXU.SG,161022.OF,013277.OF,CNXT.P,005873.OF,019105.OF,025170.OF,004870.OF,019817.OF,161613.OF,022896.OF,025195.OF,024064.OF,006928.OF,3147.HK,83147.HK,256450.KS,256750.KS,160223.SZ,026151.OF,026152.OF</t>
  </si>
  <si>
    <t>512100.SH</t>
  </si>
  <si>
    <t>中证1000ETF</t>
  </si>
  <si>
    <t>000852.SH</t>
  </si>
  <si>
    <t>中证1000</t>
  </si>
  <si>
    <t>017094.OF,018013.OF,019555.OF,004194.OF,004195.OF,016777.OF,561280.SH,016634.OF,018661.OF,018662.OF,019556.OF,015148.OF,006165.OF,016962.OF,022822.OF,016963.OF,021116.OF,003646.OF,159633.SZ,016942.OF,016643.OF,GRO.SG,GRU.SG,017191.OF,019403.OF,017095.OF,016936.OF,015867.OF,003647.OF,159679.SZ,159685.SZ,017644.OF,161039.SZ,512100.SH,018157.OF,018158.OF,019270.OF,017505.OF,006166.OF,014201.OF,014202.OF,005313.OF,017734.OF,560590.SH,006486.OF,006487.OF,005314.OF,017068.OF,560110.SH,016943.OF,017733.OF,013442.OF,017645.OF,159629.SZ,016633.OF,013922.OF,013923.OF,011861.OF,016630.OF,159680.SZ,015466.OF,015467.OF,017920.OF,018062.OF,018063.OF,561780.SH,015784.OF,015785.OF,017067.OF,014832.OF,016937.OF,014831.OF,015495.OF,015496.OF,016631.OF,560010.SH,014125.OF,014126.OF,017190.OF,017323.OF,516300.SH,017919.OF,015868.OF,018014.OF,159845.SZ,017846.OF,017161.OF,017162.OF,019271.OF,017953.OF,019185.OF,017506.OF,016786.OF,021745.OF,013331.OF,159677.SZ,015149.OF,019186.OF,017847.OF,019240.OF,016776.OF,022685.OF,019241.OF,011860.OF,017954.OF,019402.OF,561590.SH,016785.OF,024091.OF,018233.OF,017324.OF,018234.OF</t>
  </si>
  <si>
    <t>588000.SH</t>
  </si>
  <si>
    <t>科创50ETF</t>
  </si>
  <si>
    <t>000688.SH</t>
  </si>
  <si>
    <t>科创50</t>
  </si>
  <si>
    <t>018177.OF,021484.OF,9151.HK,588280.SH,011614.OF,588950.SH,024606.OF,023055.OF,021908.OF,021909.OF,022969.OF,588370.SH,588450.SH,020874.OF,021768.OF,3109.HK,020714.OF,020715.OF,589150.SH,3151.HK,013811.OF,588060.SH,588050.SH,2832.HK,82832.HK,022728.OF,013893.OF,013894.OF,024980.OF,588460.SH,588940.SH,022895.OF,011612.OF,011610.OF,022932.OF,024000.OF,024001.OF,011615.OF,588090.SH,021485.OF,023437.OF,018178.OF,013810.OF,588720.SH,018145.OF,023438.OF,023056.OF,020750.OF,589850.SH,020873.OF,KSTR.P,022950.OF,83151.HK,017188.OF,017189.OF,588040.SH,024981.OF,019386.OF,588080.SH,011608.OF,022945.OF,025027.OF,022679.OF,588150.SH,011611.OF,588180.SH,022729.OF,588870.SH,019385.OF,011609.OF,025028.OF,019767.OF,588000.SH,019768.OF,KSTP.L,KSTR.L,588840.SH,024605.OF,011613.OF,416090.KS,415760.KS,415340.KS,414780.KS,018146.OF,025727.OF,025728.OF</t>
  </si>
  <si>
    <t>515450.SH</t>
  </si>
  <si>
    <t>红利低波50ETF</t>
  </si>
  <si>
    <t>SPCLLHCP.SPI</t>
  </si>
  <si>
    <t>标普中国A股大盘红利低波50</t>
  </si>
  <si>
    <t>008163.OF,515450.SH,021056.OF,008164.OF</t>
  </si>
  <si>
    <t>159758.SZ</t>
  </si>
  <si>
    <t>红利质量ETF</t>
  </si>
  <si>
    <t>931468.CSI</t>
  </si>
  <si>
    <t>红利质量</t>
  </si>
  <si>
    <t>024263.OF,016441.OF,159758.SZ,016440.OF</t>
  </si>
  <si>
    <t>512880.SH</t>
  </si>
  <si>
    <t>证券ETF</t>
  </si>
  <si>
    <t>399975.SZ</t>
  </si>
  <si>
    <t>证券公司</t>
  </si>
  <si>
    <t>159260.SZ,007531.OF,012590.OF,012700.OF,502010.SH,515010.SH,562870.SH,021556.OF,512570.SH,007992.OF,023766.OF,160516.OF,025779.OF,025780.OF,016842.OF,021029.OF,008591.OF,016843.OF,012362.OF,013276.OF,501047.SH,512000.SH,159842.SZ,501048.SH,014984.OF,512880.SH,161027.SZ,012044.OF,502053.SH,006098.OF,025141.OF,007993.OF,160419.OF,161720.SZ,160633.SZ,012363.OF,159841.SZ,560090.SH,516200.SH,515850.SH,008590.OF,018686.OF,004070.OF,004069.OF,013597.OF,025194.OF,159848.SZ,025193.OF,022509.OF,515560.SH,512900.SH,012874.OF</t>
  </si>
  <si>
    <t>159928.SZ</t>
  </si>
  <si>
    <t>消费ETF</t>
  </si>
  <si>
    <t>000932.SH</t>
  </si>
  <si>
    <t>800消费</t>
  </si>
  <si>
    <t>021879.OF,159689.SZ,560680.SH,009179.OF,009180.OF,512600.SH,000248.OF,012857.OF,159928.SZ,159672.SZ</t>
  </si>
  <si>
    <t>512480.SH</t>
  </si>
  <si>
    <t>半导体ETF</t>
  </si>
  <si>
    <t>h30184.CSI</t>
  </si>
  <si>
    <t>中证全指半导体</t>
  </si>
  <si>
    <t>007301.OF,007300.OF,512480.SH</t>
  </si>
  <si>
    <t>512800.SH</t>
  </si>
  <si>
    <t>银行ETF</t>
  </si>
  <si>
    <t>399986.SZ</t>
  </si>
  <si>
    <t>中证银行</t>
  </si>
  <si>
    <t>512820.SH,512800.SH,161121.SZ,009860.OF,012547.OF,014028.OF,021129.OF,512700.SH,240019.OF,006697.OF,004597.OF,004598.OF,024642.OF,160418.OF,012042.OF,516310.SH,161029.SZ,014983.OF,008299.OF,016343.OF,007154.OF,161723.OF,018591.OF,025130.OF,011971.OF,011972.OF,516210.SH,160517.OF,515290.SH,515020.SH,512730.SH,160631.SZ,159253.SZ,021013.OF,007153.OF,013330.OF,001594.OF,001595.OF,008298.OF</t>
  </si>
  <si>
    <t>512660.SH</t>
  </si>
  <si>
    <t>军工ETF</t>
  </si>
  <si>
    <t>399967.SZ</t>
  </si>
  <si>
    <t>中证军工</t>
  </si>
  <si>
    <t>512660.SH,000596.OF,512560.SH,021948.OF,161024.SZ,012842.OF,502003.SH,163115.SZ,013035.OF,512680.SH,512810.SH,005693.OF,003017.OF,002199.OF,016209.OF</t>
  </si>
  <si>
    <t>512010.SH</t>
  </si>
  <si>
    <t>医药ETF易方达</t>
  </si>
  <si>
    <t>000913.SH</t>
  </si>
  <si>
    <t>300医药</t>
  </si>
  <si>
    <t>512010.SH,007883.OF,001344.OF</t>
  </si>
  <si>
    <t>512400.SH</t>
  </si>
  <si>
    <t>有色金属ETF</t>
  </si>
  <si>
    <t>000819.SH</t>
  </si>
  <si>
    <t>有色金属</t>
  </si>
  <si>
    <t>021021.OF,004433.OF,010990.OF,004432.OF,512400.SH</t>
  </si>
  <si>
    <t>515220.SH</t>
  </si>
  <si>
    <t>煤炭ETF</t>
  </si>
  <si>
    <t>399998.SZ</t>
  </si>
  <si>
    <t>中证煤炭</t>
  </si>
  <si>
    <t>016814.OF,008279.OF,161032.SZ,168204.SZ,515220.SH,022501.OF,013275.OF,008280.OF</t>
  </si>
  <si>
    <t>512200.SH</t>
  </si>
  <si>
    <t>房地产ETF</t>
  </si>
  <si>
    <t>931775.CSI</t>
  </si>
  <si>
    <t>中证全指房地产</t>
  </si>
  <si>
    <t>024628.OF,008088.OF,008089.OF,512200.SH,021002.OF,004642.OF,004643.OF,010989.OF,515060.SH</t>
  </si>
  <si>
    <t>159611.SZ</t>
  </si>
  <si>
    <t>电力ETF</t>
  </si>
  <si>
    <t>h30199.CSI</t>
  </si>
  <si>
    <t>电力指数</t>
  </si>
  <si>
    <t>018173.OF,018172.OF,021753.OF,561560.SH,159611.SZ,016185.OF,017482.OF,017481.OF,021752.OF,560580.SH,016186.OF,561700.SH,562350.SH</t>
  </si>
  <si>
    <t>159995.SZ</t>
  </si>
  <si>
    <t>芯片ETF</t>
  </si>
  <si>
    <t>980017.CNI</t>
  </si>
  <si>
    <t>国证芯片(CNI)</t>
  </si>
  <si>
    <t>008887.OF,008888.OF,022863.OF,021945.OF,159813.SZ,012629.OF,012630.OF,159665.SZ,012969.OF,012970.OF,159801.SZ,159995.SZ</t>
  </si>
  <si>
    <t>562500.SH</t>
  </si>
  <si>
    <t>机器人ETF</t>
  </si>
  <si>
    <t>h30590.CSI</t>
  </si>
  <si>
    <t>机器人</t>
  </si>
  <si>
    <t>020289.OF,020290.OF,020255.OF,021895.OF,018095.OF,020256.OF,560770.SH,020482.OF,021896.OF,025552.OF,021301.OF,159551.SZ,020607.OF,020608.OF,159770.SZ,562500.SH,018094.OF,024768.OF,024769.OF,025553.OF,159258.SZ,560630.SH,018345.OF,020999.OF,020481.OF,024619.OF,024620.OF,018344.OF,014880.OF,014881.OF,562360.SH,159213.SZ,159526.SZ,021302.OF,024600.OF,024601.OF</t>
  </si>
  <si>
    <t>159819.SZ</t>
  </si>
  <si>
    <t>人工智能ETF易方达</t>
  </si>
  <si>
    <t>930713.CSI</t>
  </si>
  <si>
    <t>CS人工智</t>
  </si>
  <si>
    <t>159248.SZ,008585.OF,008586.OF,009239.OF,011839.OF,011840.OF,011832.OF,011833.OF,023461.OF,023462.OF,024610.OF,159819.SZ,023384.OF,512930.SH,023385.OF,012733.OF,012734.OF,515070.SH,021580.OF,161631.SZ</t>
  </si>
  <si>
    <t>159870.SZ</t>
  </si>
  <si>
    <t>化工ETF</t>
  </si>
  <si>
    <t>000813.CSI</t>
  </si>
  <si>
    <t>细分化工</t>
  </si>
  <si>
    <t>015896.OF,015897.OF,159133.SZ,014943.OF,013527.OF,013528.OF,012537.OF,012538.OF,159129.SZ,516020.SH,159870.SZ,019590.OF,014942.OF,020273.OF,020274.OF,516120.SH,516220.SH,021977.OF,021978.OF,019589.OF,022792.OF</t>
  </si>
  <si>
    <t>512070.SH</t>
  </si>
  <si>
    <t>证券保险ETF易方达</t>
  </si>
  <si>
    <t>h30035.CSI</t>
  </si>
  <si>
    <t>300非银</t>
  </si>
  <si>
    <t>512070.SH,000950.OF,007882.OF</t>
  </si>
  <si>
    <t>159755.SZ</t>
  </si>
  <si>
    <t>电池ETF</t>
  </si>
  <si>
    <t>980032.CNI</t>
  </si>
  <si>
    <t>新能电池</t>
  </si>
  <si>
    <t>025916.OF,025917.OF,015873.OF,015874.OF,159767.SZ,018380.OF,018379.OF,159775.SZ,159755.SZ,013179.OF,013180.OF,159757.SZ,159840.SZ</t>
  </si>
  <si>
    <t>515790.SH</t>
  </si>
  <si>
    <t>光伏ETF</t>
  </si>
  <si>
    <t>931151.CSI</t>
  </si>
  <si>
    <t>光伏产业</t>
  </si>
  <si>
    <t>015993.OF,015994.OF,515370.SH,012929.OF,012679.OF,012680.OF,013816.OF,516290.SH,159618.SZ,159864.SZ,021947.OF,159857.SZ,018502.OF,024618.OF,3134.HK,011966.OF,011967.OF,011103.OF,516180.SH,159123.SZ,024059.OF,024060.OF,562970.SH,516880.SH,021084.OF,021085.OF,159609.SZ,017647.OF,019531.OF,012364.OF,012365.OF,013602.OF,021698.OF,013601.OF,012928.OF,013817.OF,012722.OF,012723.OF,022862.OF,515790.SH,017646.OF,014604.OF,014605.OF,019532.OF,011102.OF,012885.OF,012886.OF,018503.OF,413220.KS,159863.SZ</t>
  </si>
  <si>
    <t>159992.SZ</t>
  </si>
  <si>
    <t>创新药ETF</t>
  </si>
  <si>
    <t>931152.CSI</t>
  </si>
  <si>
    <t>CS创新药</t>
  </si>
  <si>
    <t>159835.SZ,560900.SH,019667.OF,021098.OF,516060.SH,012781.OF,012782.OF,022104.OF,159858.SZ,012738.OF,516080.SH,159992.SZ,515120.SH,019666.OF,021097.OF,012737.OF</t>
  </si>
  <si>
    <t>515880.SH</t>
  </si>
  <si>
    <t>通信ETF</t>
  </si>
  <si>
    <t>931160.CSI</t>
  </si>
  <si>
    <t>通信设备</t>
  </si>
  <si>
    <t>515880.SH,007817.OF,007818.OF,020899.OF,020691.OF,020692.OF,020900.OF,022500.OF</t>
  </si>
  <si>
    <t>159869.SZ</t>
  </si>
  <si>
    <t>游戏ETF</t>
  </si>
  <si>
    <t>930901.CSI</t>
  </si>
  <si>
    <t>动漫游戏</t>
  </si>
  <si>
    <t>159869.SZ,516010.SH,012768.OF,012769.OF,023715.OF,012728.OF,012729.OF,516770.SH,022481.OF</t>
  </si>
  <si>
    <t>159851.SZ</t>
  </si>
  <si>
    <t>金融科技ETF</t>
  </si>
  <si>
    <t>930986.CSI</t>
  </si>
  <si>
    <t>金融科技</t>
  </si>
  <si>
    <t>516100.SH,563670.SH,516860.SH,159103.SZ,515720.SH,023884.OF,023885.OF,013477.OF,013478.OF,159299.SZ,023537.OF,023536.OF,563570.SH,159851.SZ</t>
  </si>
  <si>
    <t>511010.SH</t>
  </si>
  <si>
    <t>国债ETF</t>
  </si>
  <si>
    <t>000140.SH</t>
  </si>
  <si>
    <t>上证5年国债</t>
  </si>
  <si>
    <t>Bond</t>
  </si>
  <si>
    <t>511260.SH</t>
  </si>
  <si>
    <t>十年国债ETF</t>
  </si>
  <si>
    <t>h01077.SH</t>
  </si>
  <si>
    <t>上证10年国债(净)</t>
  </si>
  <si>
    <t>511090.SH</t>
  </si>
  <si>
    <t>30年国债ETF</t>
  </si>
  <si>
    <t>CBA21801.CS</t>
  </si>
  <si>
    <t>中债-30年期国债财富(总值)指数</t>
  </si>
  <si>
    <t>511220.SH</t>
  </si>
  <si>
    <t>城投债ETF</t>
  </si>
  <si>
    <t>h11098.SH</t>
  </si>
  <si>
    <t>沪城投债</t>
  </si>
  <si>
    <t>511030.SH</t>
  </si>
  <si>
    <t>公司债ETF</t>
  </si>
  <si>
    <t>CBC00702.CS</t>
  </si>
  <si>
    <t>中债-中高等级公司债利差因子净价(总值)指数</t>
  </si>
  <si>
    <t>511190.SH</t>
  </si>
  <si>
    <t>信用债ETF</t>
  </si>
  <si>
    <t>950245.CSI</t>
  </si>
  <si>
    <t>沪做市公司债</t>
  </si>
  <si>
    <t>511070.SH,511190.SH,511200.SH,511110.SH</t>
  </si>
  <si>
    <t>511380.SH</t>
  </si>
  <si>
    <t>可转债ETF</t>
  </si>
  <si>
    <t>931078.CSI</t>
  </si>
  <si>
    <t>中证转债及可交换债</t>
  </si>
  <si>
    <t>159980.SZ</t>
  </si>
  <si>
    <t>有色ETF大成</t>
  </si>
  <si>
    <t>IMCI.SHF</t>
  </si>
  <si>
    <t>上期有色金属指数</t>
  </si>
  <si>
    <t>Commodity</t>
  </si>
  <si>
    <t>159980.SZ,007911.OF,007910.OF</t>
  </si>
  <si>
    <t>159985.SZ</t>
  </si>
  <si>
    <t>豆粕ETF</t>
  </si>
  <si>
    <t>DCESMFI.DCE</t>
  </si>
  <si>
    <t>大商所豆粕期货价格指数</t>
  </si>
  <si>
    <t>159985.SZ,007937.OF,007938.OF</t>
  </si>
  <si>
    <t>159981.SZ</t>
  </si>
  <si>
    <t>能源化工ETF</t>
  </si>
  <si>
    <t>000201.CZC</t>
  </si>
  <si>
    <t>易盛能化A</t>
  </si>
  <si>
    <t>159981.SZ,008827.OF,008828.OF</t>
  </si>
  <si>
    <t>518880.SH</t>
  </si>
  <si>
    <t>黄金ETF</t>
  </si>
  <si>
    <t>Au9999.SGE</t>
  </si>
  <si>
    <t>SGE黄金9999</t>
  </si>
  <si>
    <t>Gold</t>
  </si>
  <si>
    <t>002610.OF,020341.OF,159812.SZ,518850.SH,518660.SH,008142.OF,000930.OF,000218.OF,000216.OF,008143.OF,518800.SH,009198.OF,021740.OF,002611.OF,022653.OF,159937.SZ,000217.OF,021499.OF,008702.OF,518880.SH,000929.OF,002963.OF,004253.OF,000307.OF,022502.OF,159934.SZ,008701.OF</t>
  </si>
  <si>
    <t>511360.SH</t>
  </si>
  <si>
    <t>短融ETF</t>
  </si>
  <si>
    <t>h11014.CSI</t>
  </si>
  <si>
    <t>中证短融</t>
  </si>
  <si>
    <t>Cash</t>
  </si>
  <si>
    <t>006020.OF,006021.OF,024546.OF,015907.OF,510390.SH,018258.OF,023607.OF,022090.OF,021851.OF,501043.SH,501045.SH,XCHA.DF,RQFI.DF,RQFI.L,007044.OF,015279.OF,165515.SZ,008291.OF,008292.OF,007275.OF,007276.OF,022987.OF,000051.OF,022774.OF,463300.KS,168580.KS,219900.KS,283580.KS,192090.KS,217780.KS,003876.OF,020647.OF,005113.OF,515360.SH,050002.OF,165310.OF,005114.OF,021886.OF,000176.OF,008238.OF,159673.SZ,002987.OF,515390.SH,020011.OF,006912.OF,481009.OF,021022.OF,016204.OF,002310.OF,515310.SH,022599.OF,515380.SH,000312.OF,562070.SH,022866.OF,025936.OF,022935.OF,007143.OF,010854.OF,022924.OF,022310.OF,160706.SZ,022366.OF,022367.OF,018257.OF,023147.OF,022091.OF,023059.OF,021832.OF,021833.OF,003015.OF,002670.OF,008926.OF,022954.OF,024314.OF,023146.OF,005640.OF,9188.HK,320014.OF,001016.OF,002315.OF,510310.SH,002671.OF,020161.OF,022899.OF,519116.OF,000313.OF,005103.OF,200002.OF,024637.OF,007096.OF,660008.OF,007045.OF,165309.SZ,022949.OF,022543.OF,005530.OF,010556.OF,004788.OF,022964.OF,002385.OF,563520.SH,004342.OF,005850.OF,000311.OF,021737.OF,022922.OF,003548.OF,162213.OF,160724.OF,010855.OF,020352.OF,025932.OF,003579.OF,020220.OF,008239.OF,001015.OF,000656.OF,023608.OF,159330.SZ,160615.SZ,021635.OF,006131.OF,022917.OF,005870.OF,025501.OF,025502.OF,007448.OF,167601.OF,008391.OF,016134.OF,515660.SH,460300.OF,008390.OF,024855.OF,024856.OF,000512.OF,002063.OF,007539.OF,012912.OF,673100.OF,673101.OF,021494.OF,024636.OF,005658.OF,510320.SH,022890.OF,005248.OF,008184.OF,022983.OF,009059.OF,012911.OF,561930.SH,005639.OF,015061.OF,015062.OF,83188.HK,024186.OF,3130.HK,83130.HK,022914.OF,561300.SH,024626.OF,022948.OF,022928.OF,024415.OF,024416.OF,007144.OF,025676.OF,025677.OF,270010.OF,022824.OF,026275.OF,025705.OF,007339.OF,KCAI.P,161811.SZ,159393.SZ,008927.OF,008777.OF,024158.OF,022906.OF,020160.OF,003885.OF,011545.OF,011546.OF,561000.SH,022309.OF,024627.OF,006937.OF,000613.OF,010352.OF,003884.OF,510360.SH,159919.SZ,3188.HK,022940.OF,005102.OF,022699.OF,015906.OF,9846.HK,010736.OF,007230.OF,510380.SH,007538.OF,561990.SH,015387.OF,015388.OF,CHAU.P,159238.SZ,015671.OF,013120.OF,007404.OF,025010.OF,021757.OF,016205.OF,009208.OF,163407.SZ,2846.HK,510300.SH,510350.SH,519300.OF,008592.OF,008593.OF,008776.OF,024011.OF,024012.OF,021847.OF,021848.OF,ASHR.P,006939.OF,015278.OF,025706.OF,014372.OF,021758.OF,510370.SH,515130.SH,014165.OF,014166.OF,005137.OF,2827.HK,025008.OF,100038.OF,020221.OF,019210.OF,110030.OF,004513.OF,004512.OF,006600.OF,010872.OF,010873.OF,025329.OF,960022.OF,515350.SH,202015.OF,159300.SZ,017925.OF,022955.OF,012206.OF,012207.OF,022600.OF,015679.OF,009060.OF,005867.OF,024576.OF,024577.OF,110020.OF,022504.OF,022505.OF,021103.OF,159925.SZ,023060.OF,003957.OF,003958.OF,450008.OF,000961.OF,005918.OF,310318.OF,007804.OF,010908.OF,010909.OF,510330.SH,016690.OF,160807.SZ,RQFI.DY,XCHA.L,XCHA.SIX,XCHA.DY,RQFI.SIX,ASHR.L,022962.OF,023423.OF,166802.OF,004881.OF,515330.SH,022936.OF,022859.OF,022860.OF,023291.OF,1322.T,019656.OF,005152.OF,023290.OF,013291.OF,021877.OF,021878.OF,025378.OF,025379.OF,022908.OF,010737.OF,025882.OF,022867.OF,004190.OF,004191.OF,204480.KS,010311.OF,82846.HK,024313.OF,022973.OF,004789.OF,025480.OF,025481.OF</t>
    <phoneticPr fontId="18" type="noConversion"/>
  </si>
  <si>
    <t>001051.OF,110003.OF,510680.SH,510050.SH,399001.OF,530050.SH,004746.OF,008056.OF,JK8.SG,005880.OF,006220.OF,008240.OF,012875.OF,005881.OF,005733.OF,530000.SH,510600.SH,022959.OF,005737.OF,014980.OF,510950.SH,012157.OF,001549.OF,008057.OF,510710.SH,007379.OF,510100.SH,510800.SH,019546.OF,007380.OF,021722.OF,021723.OF,006221.OF,013444.OF,563090.SH,040190.OF,022933.OF,008241.OF,022956.OF,001548.OF,3024.HK,510850.SH,012158.OF,502048.SH,001237.OF,510190.SH,024383.OF,024384.OF</t>
    <phoneticPr fontId="18" type="noConversion"/>
  </si>
  <si>
    <t>3024.HK</t>
  </si>
  <si>
    <t>510310.SH</t>
  </si>
  <si>
    <t>沪深300ETF易方达</t>
  </si>
  <si>
    <t>510330.SH</t>
  </si>
  <si>
    <t>沪深300ETF华夏</t>
  </si>
  <si>
    <t>159919.SZ</t>
  </si>
  <si>
    <t>515330.SH</t>
  </si>
  <si>
    <t>沪深300ETF天弘</t>
  </si>
  <si>
    <t>510350.SH</t>
  </si>
  <si>
    <t>沪深300ETF工银</t>
  </si>
  <si>
    <t>510360.SH</t>
  </si>
  <si>
    <t>沪深300ETF广发</t>
  </si>
  <si>
    <t>515380.SH</t>
  </si>
  <si>
    <t>沪深300ETF泰康</t>
  </si>
  <si>
    <t>515660.SH</t>
  </si>
  <si>
    <t>沪深300ETF国联安</t>
  </si>
  <si>
    <t>159925.SZ</t>
  </si>
  <si>
    <t>沪深300ETF南方</t>
  </si>
  <si>
    <t>159673.SZ</t>
  </si>
  <si>
    <t>沪深300ETF鹏华</t>
  </si>
  <si>
    <t>510380.SH</t>
  </si>
  <si>
    <t>国寿300ETF</t>
  </si>
  <si>
    <t>159300.SZ</t>
  </si>
  <si>
    <t>300ETF</t>
  </si>
  <si>
    <t>561300.SH</t>
  </si>
  <si>
    <t>300增强ETF</t>
  </si>
  <si>
    <t>561990.SH</t>
  </si>
  <si>
    <t>沪深300增强ETF</t>
  </si>
  <si>
    <t>159330.SZ</t>
  </si>
  <si>
    <t>沪深300ETF东财</t>
  </si>
  <si>
    <t>510320.SH</t>
  </si>
  <si>
    <t>沪深300ETF中金</t>
  </si>
  <si>
    <t>515390.SH</t>
  </si>
  <si>
    <t>沪深300ETF指数基金</t>
  </si>
  <si>
    <t>563520.SH</t>
  </si>
  <si>
    <t>沪深300ETF永赢</t>
  </si>
  <si>
    <t>510390.SH</t>
  </si>
  <si>
    <t>沪深300ETF平安</t>
  </si>
  <si>
    <t>159393.SZ</t>
  </si>
  <si>
    <t>沪深300指数ETF</t>
  </si>
  <si>
    <t>515310.SH</t>
  </si>
  <si>
    <t>沪深300ETF汇添富</t>
  </si>
  <si>
    <t>561930.SH</t>
  </si>
  <si>
    <t>沪深300ETF招商</t>
  </si>
  <si>
    <t>515360.SH</t>
  </si>
  <si>
    <t>方正沪深300ETF</t>
  </si>
  <si>
    <t>562070.SH</t>
  </si>
  <si>
    <t>沪深300指增ETF</t>
  </si>
  <si>
    <t>515130.SH</t>
  </si>
  <si>
    <t>沪深300ETF博时</t>
  </si>
  <si>
    <t>510370.SH</t>
  </si>
  <si>
    <t>300指数ETF</t>
  </si>
  <si>
    <t>561000.SH</t>
  </si>
  <si>
    <t>沪深300ETF增强基金</t>
  </si>
  <si>
    <t>515350.SH</t>
  </si>
  <si>
    <t>民生加银300ETF</t>
  </si>
  <si>
    <t>159238.SZ</t>
  </si>
  <si>
    <t>300ETF增强</t>
  </si>
  <si>
    <t>基金规模（最新）</t>
    <phoneticPr fontId="18" type="noConversion"/>
  </si>
  <si>
    <t>基金规模（前一日）</t>
    <phoneticPr fontId="18" type="noConversion"/>
  </si>
  <si>
    <t>规模变动</t>
    <phoneticPr fontId="18" type="noConversion"/>
  </si>
  <si>
    <t>基金份额（最新）</t>
    <phoneticPr fontId="18" type="noConversion"/>
  </si>
  <si>
    <t>9188.HK</t>
  </si>
  <si>
    <t>83188.HK</t>
  </si>
  <si>
    <t>3130.HK</t>
  </si>
  <si>
    <t>83130.HK</t>
  </si>
  <si>
    <t>3188.HK</t>
  </si>
  <si>
    <t>9846.HK</t>
  </si>
  <si>
    <t>2846.HK</t>
  </si>
  <si>
    <t>2827.HK</t>
  </si>
  <si>
    <t>82846.HK</t>
  </si>
  <si>
    <t>基金份额（前一日）</t>
    <phoneticPr fontId="18" type="noConversion"/>
  </si>
  <si>
    <t>单位净值</t>
  </si>
  <si>
    <t>单位净值</t>
    <phoneticPr fontId="18" type="noConversion"/>
  </si>
  <si>
    <t>总费率</t>
    <phoneticPr fontId="18" type="noConversion"/>
  </si>
  <si>
    <t>管理费率</t>
    <phoneticPr fontId="18" type="noConversion"/>
  </si>
  <si>
    <t>托管费率</t>
    <phoneticPr fontId="18" type="noConversion"/>
  </si>
  <si>
    <t>159360.SZ</t>
  </si>
  <si>
    <t>159358.SZ</t>
  </si>
  <si>
    <t>159215.SZ</t>
  </si>
  <si>
    <t>159226.SZ</t>
  </si>
  <si>
    <t>560610.SH</t>
  </si>
  <si>
    <t>159376.SZ</t>
  </si>
  <si>
    <t>563630.SH</t>
  </si>
  <si>
    <t>159352.SZ</t>
  </si>
  <si>
    <t>563600.SH</t>
  </si>
  <si>
    <t>563650.SH</t>
  </si>
  <si>
    <t>512050.SH</t>
  </si>
  <si>
    <t>159339.SZ</t>
  </si>
  <si>
    <t>560510.SH</t>
  </si>
  <si>
    <t>159361.SZ</t>
  </si>
  <si>
    <t>159386.SZ</t>
  </si>
  <si>
    <t>159353.SZ</t>
  </si>
  <si>
    <t>159359.SZ</t>
  </si>
  <si>
    <t>159338.SZ</t>
  </si>
  <si>
    <t>512020.SH</t>
  </si>
  <si>
    <t>560530.SH</t>
  </si>
  <si>
    <t>159379.SZ</t>
  </si>
  <si>
    <t>159351.SZ</t>
  </si>
  <si>
    <t>563660.SH</t>
  </si>
  <si>
    <t>512080.SH</t>
  </si>
  <si>
    <t>159356.SZ</t>
  </si>
  <si>
    <t>159357.SZ</t>
  </si>
  <si>
    <t>563860.SH</t>
  </si>
  <si>
    <t>159362.SZ</t>
  </si>
  <si>
    <t>563800.SH</t>
  </si>
  <si>
    <t>563880.SH</t>
  </si>
  <si>
    <t>159380.SZ</t>
  </si>
  <si>
    <t>563550.SH</t>
  </si>
  <si>
    <t>560750.SH</t>
  </si>
  <si>
    <t>512370.SH</t>
  </si>
  <si>
    <t>563220.SH</t>
  </si>
  <si>
    <t>563500.SH</t>
  </si>
  <si>
    <t>159249.SZ</t>
  </si>
  <si>
    <t>561090.SH</t>
  </si>
  <si>
    <t>159240.SZ</t>
  </si>
  <si>
    <t>510680.SH</t>
  </si>
  <si>
    <t>530050.SH</t>
  </si>
  <si>
    <t>530000.SH</t>
  </si>
  <si>
    <t>510600.SH</t>
  </si>
  <si>
    <t>510950.SH</t>
  </si>
  <si>
    <t>510710.SH</t>
  </si>
  <si>
    <t>510100.SH</t>
  </si>
  <si>
    <t>510800.SH</t>
  </si>
  <si>
    <t>563090.SH</t>
  </si>
  <si>
    <t>510850.SH</t>
  </si>
  <si>
    <t>510190.SH</t>
  </si>
  <si>
    <t>159820.SZ</t>
  </si>
  <si>
    <t>510530.SH</t>
  </si>
  <si>
    <t>159500.SZ</t>
  </si>
  <si>
    <t>515190.SH</t>
  </si>
  <si>
    <t>515550.SH</t>
  </si>
  <si>
    <t>510560.SH</t>
  </si>
  <si>
    <t>560950.SH</t>
  </si>
  <si>
    <t>510570.SH</t>
  </si>
  <si>
    <t>563750.SH</t>
  </si>
  <si>
    <t>159982.SZ</t>
  </si>
  <si>
    <t>512500.SH</t>
  </si>
  <si>
    <t>159610.SZ</t>
  </si>
  <si>
    <t>159968.SZ</t>
  </si>
  <si>
    <t>515530.SH</t>
  </si>
  <si>
    <t>510550.SH</t>
  </si>
  <si>
    <t>510590.SH</t>
  </si>
  <si>
    <t>561550.SH</t>
  </si>
  <si>
    <t>561350.SH</t>
  </si>
  <si>
    <t>159922.SZ</t>
  </si>
  <si>
    <t>563030.SH</t>
  </si>
  <si>
    <t>510580.SH</t>
  </si>
  <si>
    <t>510510.SH</t>
  </si>
  <si>
    <t>512510.SH</t>
  </si>
  <si>
    <t>561950.SH</t>
  </si>
  <si>
    <t>159337.SZ</t>
  </si>
  <si>
    <t>560100.SH</t>
  </si>
  <si>
    <t>159678.SZ</t>
  </si>
  <si>
    <t>159935.SZ</t>
  </si>
  <si>
    <t>159908.SZ</t>
  </si>
  <si>
    <t>159810.SZ</t>
  </si>
  <si>
    <t>159964.SZ</t>
  </si>
  <si>
    <t>159958.SZ</t>
  </si>
  <si>
    <t>159205.SZ</t>
  </si>
  <si>
    <t>159948.SZ</t>
  </si>
  <si>
    <t>159971.SZ</t>
  </si>
  <si>
    <t>159952.SZ</t>
  </si>
  <si>
    <t>159808.SZ</t>
  </si>
  <si>
    <t>159977.SZ</t>
  </si>
  <si>
    <t>159675.SZ</t>
  </si>
  <si>
    <t>159821.SZ</t>
  </si>
  <si>
    <t>159676.SZ</t>
  </si>
  <si>
    <t>159956.SZ</t>
  </si>
  <si>
    <t>159957.SZ</t>
  </si>
  <si>
    <t>3147.HK</t>
  </si>
  <si>
    <t>83147.HK</t>
  </si>
  <si>
    <t>561280.SH</t>
  </si>
  <si>
    <t>159633.SZ</t>
  </si>
  <si>
    <t>159679.SZ</t>
  </si>
  <si>
    <t>159685.SZ</t>
  </si>
  <si>
    <t>560590.SH</t>
  </si>
  <si>
    <t>560110.SH</t>
  </si>
  <si>
    <t>159629.SZ</t>
  </si>
  <si>
    <t>159680.SZ</t>
  </si>
  <si>
    <t>561780.SH</t>
  </si>
  <si>
    <t>560010.SH</t>
  </si>
  <si>
    <t>516300.SH</t>
  </si>
  <si>
    <t>159845.SZ</t>
  </si>
  <si>
    <t>159677.SZ</t>
  </si>
  <si>
    <t>561590.SH</t>
  </si>
  <si>
    <t>9151.HK</t>
  </si>
  <si>
    <t>588280.SH</t>
  </si>
  <si>
    <t>588950.SH</t>
  </si>
  <si>
    <t>588370.SH</t>
  </si>
  <si>
    <t>588450.SH</t>
  </si>
  <si>
    <t>3109.HK</t>
  </si>
  <si>
    <t>589150.SH</t>
  </si>
  <si>
    <t>3151.HK</t>
  </si>
  <si>
    <t>588060.SH</t>
  </si>
  <si>
    <t>588050.SH</t>
  </si>
  <si>
    <t>2832.HK</t>
  </si>
  <si>
    <t>82832.HK</t>
  </si>
  <si>
    <t>588460.SH</t>
  </si>
  <si>
    <t>588940.SH</t>
  </si>
  <si>
    <t>588090.SH</t>
  </si>
  <si>
    <t>588720.SH</t>
  </si>
  <si>
    <t>589850.SH</t>
  </si>
  <si>
    <t>83151.HK</t>
  </si>
  <si>
    <t>588040.SH</t>
  </si>
  <si>
    <t>588080.SH</t>
  </si>
  <si>
    <t>588150.SH</t>
  </si>
  <si>
    <t>588180.SH</t>
  </si>
  <si>
    <t>588870.SH</t>
  </si>
  <si>
    <t>588840.SH</t>
  </si>
  <si>
    <t>159260.SZ</t>
  </si>
  <si>
    <t>515010.SH</t>
  </si>
  <si>
    <t>562870.SH</t>
  </si>
  <si>
    <t>512570.SH</t>
  </si>
  <si>
    <t>512000.SH</t>
  </si>
  <si>
    <t>159842.SZ</t>
  </si>
  <si>
    <t>159841.SZ</t>
  </si>
  <si>
    <t>560090.SH</t>
  </si>
  <si>
    <t>516200.SH</t>
  </si>
  <si>
    <t>515850.SH</t>
  </si>
  <si>
    <t>159848.SZ</t>
  </si>
  <si>
    <t>515560.SH</t>
  </si>
  <si>
    <t>512900.SH</t>
  </si>
  <si>
    <t>159689.SZ</t>
  </si>
  <si>
    <t>560680.SH</t>
  </si>
  <si>
    <t>512600.SH</t>
  </si>
  <si>
    <t>159672.SZ</t>
  </si>
  <si>
    <t>512820.SH</t>
  </si>
  <si>
    <t>512700.SH</t>
  </si>
  <si>
    <t>516310.SH</t>
  </si>
  <si>
    <t>516210.SH</t>
  </si>
  <si>
    <t>515290.SH</t>
  </si>
  <si>
    <t>515020.SH</t>
  </si>
  <si>
    <t>512730.SH</t>
  </si>
  <si>
    <t>159253.SZ</t>
  </si>
  <si>
    <t>512560.SH</t>
  </si>
  <si>
    <t>512680.SH</t>
  </si>
  <si>
    <t>512810.SH</t>
  </si>
  <si>
    <t>515060.SH</t>
  </si>
  <si>
    <t>561560.SH</t>
  </si>
  <si>
    <t>560580.SH</t>
  </si>
  <si>
    <t>561700.SH</t>
  </si>
  <si>
    <t>562350.SH</t>
  </si>
  <si>
    <t>159813.SZ</t>
  </si>
  <si>
    <t>159665.SZ</t>
  </si>
  <si>
    <t>159801.SZ</t>
  </si>
  <si>
    <t>560770.SH</t>
  </si>
  <si>
    <t>159551.SZ</t>
  </si>
  <si>
    <t>159770.SZ</t>
  </si>
  <si>
    <t>159258.SZ</t>
  </si>
  <si>
    <t>560630.SH</t>
  </si>
  <si>
    <t>562360.SH</t>
  </si>
  <si>
    <t>159213.SZ</t>
  </si>
  <si>
    <t>159526.SZ</t>
  </si>
  <si>
    <t>159248.SZ</t>
  </si>
  <si>
    <t>512930.SH</t>
  </si>
  <si>
    <t>515070.SH</t>
  </si>
  <si>
    <t>159133.SZ</t>
  </si>
  <si>
    <t>159129.SZ</t>
  </si>
  <si>
    <t>516020.SH</t>
  </si>
  <si>
    <t>516120.SH</t>
  </si>
  <si>
    <t>516220.SH</t>
  </si>
  <si>
    <t>159767.SZ</t>
  </si>
  <si>
    <t>159775.SZ</t>
  </si>
  <si>
    <t>159757.SZ</t>
  </si>
  <si>
    <t>159840.SZ</t>
  </si>
  <si>
    <t>515370.SH</t>
  </si>
  <si>
    <t>516290.SH</t>
  </si>
  <si>
    <t>159618.SZ</t>
  </si>
  <si>
    <t>159864.SZ</t>
  </si>
  <si>
    <t>159857.SZ</t>
  </si>
  <si>
    <t>3134.HK</t>
  </si>
  <si>
    <t>516180.SH</t>
  </si>
  <si>
    <t>159123.SZ</t>
  </si>
  <si>
    <t>562970.SH</t>
  </si>
  <si>
    <t>516880.SH</t>
  </si>
  <si>
    <t>159609.SZ</t>
  </si>
  <si>
    <t>159863.SZ</t>
  </si>
  <si>
    <t>159835.SZ</t>
  </si>
  <si>
    <t>560900.SH</t>
  </si>
  <si>
    <t>516060.SH</t>
  </si>
  <si>
    <t>159858.SZ</t>
  </si>
  <si>
    <t>516080.SH</t>
  </si>
  <si>
    <t>515120.SH</t>
  </si>
  <si>
    <t>516010.SH</t>
  </si>
  <si>
    <t>516770.SH</t>
  </si>
  <si>
    <t>516100.SH</t>
  </si>
  <si>
    <t>563670.SH</t>
  </si>
  <si>
    <t>516860.SH</t>
  </si>
  <si>
    <t>159103.SZ</t>
  </si>
  <si>
    <t>515720.SH</t>
  </si>
  <si>
    <t>159299.SZ</t>
  </si>
  <si>
    <t>563570.SH</t>
  </si>
  <si>
    <t>511070.SH</t>
  </si>
  <si>
    <t>511200.SH</t>
  </si>
  <si>
    <t>511110.SH</t>
  </si>
  <si>
    <t>159812.SZ</t>
  </si>
  <si>
    <t>518850.SH</t>
  </si>
  <si>
    <t>518660.SH</t>
  </si>
  <si>
    <t>518800.SH</t>
  </si>
  <si>
    <t>159937.SZ</t>
  </si>
  <si>
    <t>159934.SZ</t>
  </si>
  <si>
    <t>基金代码</t>
    <phoneticPr fontId="18" type="noConversion"/>
  </si>
  <si>
    <t>是否ETF基金</t>
    <phoneticPr fontId="18" type="noConversion"/>
  </si>
  <si>
    <t>上市地点</t>
    <phoneticPr fontId="18" type="noConversion"/>
  </si>
  <si>
    <t>跟踪指数代码</t>
    <phoneticPr fontId="18" type="noConversion"/>
  </si>
  <si>
    <t>跟踪指数名称</t>
    <phoneticPr fontId="18" type="noConversion"/>
  </si>
  <si>
    <t>开始日期</t>
  </si>
  <si>
    <t>截止日期</t>
  </si>
  <si>
    <t>当前日期</t>
  </si>
  <si>
    <t>证券代码</t>
  </si>
  <si>
    <t>证券简称</t>
  </si>
  <si>
    <t>日期</t>
  </si>
  <si>
    <t>Date</t>
  </si>
  <si>
    <t>基金份额
[单位]亿份</t>
  </si>
  <si>
    <t>nav</t>
  </si>
  <si>
    <t>unit_total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</si>
</sst>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###,###,##0.00"/>
    <numFmt numFmtId="177" formatCode="###,###,##0.0000"/>
    <numFmt numFmtId="180" formatCode="_ * #,##0.0000_ ;_ * \-#,##0.0000_ ;_ * &quot;-&quot;??_ ;_ @_ "/>
    <numFmt numFmtId="182" formatCode="#,##0.0_ "/>
    <numFmt numFmtId="183" formatCode="yyyy\-mm\-dd"/>
    <numFmt numFmtId="184" formatCode="0.0000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4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9" fillId="0" borderId="10" xfId="0" applyFont="1" applyBorder="1" applyAlignment="1">
      <alignment horizontal="left"/>
    </xf>
    <xf numFmtId="177" fontId="0" fillId="0" borderId="0" xfId="0" applyNumberFormat="1">
      <alignment vertical="center"/>
    </xf>
    <xf numFmtId="43" fontId="0" fillId="0" borderId="0" xfId="1" applyFont="1">
      <alignment vertical="center"/>
    </xf>
    <xf numFmtId="180" fontId="0" fillId="0" borderId="0" xfId="1" applyNumberFormat="1" applyFont="1">
      <alignment vertical="center"/>
    </xf>
    <xf numFmtId="43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 applyAlignment="1">
      <alignment horizontal="right" vertical="center"/>
    </xf>
    <xf numFmtId="183" fontId="0" fillId="33" borderId="11" xfId="0" applyNumberForma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33" borderId="11" xfId="0" applyNumberFormat="1" applyFill="1" applyBorder="1" applyAlignment="1">
      <alignment horizontal="right" vertical="center"/>
    </xf>
    <xf numFmtId="0" fontId="0" fillId="34" borderId="0" xfId="0" applyNumberFormat="1" applyFill="1" applyAlignment="1">
      <alignment horizontal="right" vertical="center"/>
    </xf>
    <xf numFmtId="0" fontId="0" fillId="34" borderId="0" xfId="0" applyNumberFormat="1" applyFill="1" applyAlignment="1">
      <alignment horizontal="right" vertical="center" wrapText="1"/>
    </xf>
    <xf numFmtId="184" fontId="0" fillId="0" borderId="0" xfId="0" applyNumberFormat="1" applyAlignment="1">
      <alignment horizontal="right" vertical="center"/>
    </xf>
  </cellXfs>
  <cellStyles count="43">
    <cellStyle name="20% - 着色 1" xfId="20" builtinId="30" customBuiltin="1"/>
    <cellStyle name="20% - 着色 2" xfId="24" builtinId="34" customBuiltin="1"/>
    <cellStyle name="20% - 着色 3" xfId="28" builtinId="38" customBuiltin="1"/>
    <cellStyle name="20% - 着色 4" xfId="32" builtinId="42" customBuiltin="1"/>
    <cellStyle name="20% - 着色 5" xfId="36" builtinId="46" customBuiltin="1"/>
    <cellStyle name="20% - 着色 6" xfId="40" builtinId="50" customBuiltin="1"/>
    <cellStyle name="40% - 着色 1" xfId="21" builtinId="31" customBuiltin="1"/>
    <cellStyle name="40% - 着色 2" xfId="25" builtinId="35" customBuiltin="1"/>
    <cellStyle name="40% - 着色 3" xfId="29" builtinId="39" customBuiltin="1"/>
    <cellStyle name="40% - 着色 4" xfId="33" builtinId="43" customBuiltin="1"/>
    <cellStyle name="40% - 着色 5" xfId="37" builtinId="47" customBuiltin="1"/>
    <cellStyle name="40% - 着色 6" xfId="41" builtinId="51" customBuiltin="1"/>
    <cellStyle name="60% - 着色 1" xfId="22" builtinId="32" customBuiltin="1"/>
    <cellStyle name="60% - 着色 2" xfId="26" builtinId="36" customBuiltin="1"/>
    <cellStyle name="60% - 着色 3" xfId="30" builtinId="40" customBuiltin="1"/>
    <cellStyle name="60% - 着色 4" xfId="34" builtinId="44" customBuiltin="1"/>
    <cellStyle name="60% - 着色 5" xfId="38" builtinId="48" customBuiltin="1"/>
    <cellStyle name="60% - 着色 6" xfId="42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千位分隔" xfId="1" builtinId="3"/>
    <cellStyle name="适中" xfId="9" builtinId="28" customBuiltin="1"/>
    <cellStyle name="输出" xfId="11" builtinId="21" customBuiltin="1"/>
    <cellStyle name="输入" xfId="10" builtinId="20" customBuiltin="1"/>
    <cellStyle name="着色 1" xfId="19" builtinId="29" customBuiltin="1"/>
    <cellStyle name="着色 2" xfId="23" builtinId="33" customBuiltin="1"/>
    <cellStyle name="着色 3" xfId="27" builtinId="37" customBuiltin="1"/>
    <cellStyle name="着色 4" xfId="31" builtinId="41" customBuiltin="1"/>
    <cellStyle name="着色 5" xfId="35" builtinId="45" customBuiltin="1"/>
    <cellStyle name="着色 6" xfId="39" builtinId="49" customBuiltin="1"/>
    <cellStyle name="注释" xfId="16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ind\DataBrowse\XLA\WindFunc.xla" TargetMode="External"/><Relationship Id="rId1" Type="http://schemas.openxmlformats.org/officeDocument/2006/relationships/externalLinkPath" Target="file:///D:\Wind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f_info_custodianfeeratio"/>
      <definedName name="f_info_etfornot"/>
      <definedName name="f_info_managementfeeratio"/>
      <definedName name="f_info_trackindexcode"/>
      <definedName name="f_info_trackindexname"/>
      <definedName name="f_nav_unit"/>
      <definedName name="f_netasset_total2"/>
      <definedName name="f_unit_floortradingchange"/>
      <definedName name="f_unit_total"/>
      <definedName name="s_info_exchmarket"/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DC8A-D01A-4918-90EE-919E1ABF01BF}">
  <dimension ref="A1:K55"/>
  <sheetViews>
    <sheetView workbookViewId="0">
      <selection activeCell="L34" sqref="L34"/>
    </sheetView>
  </sheetViews>
  <sheetFormatPr defaultRowHeight="14.1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292</v>
      </c>
      <c r="I1" t="s">
        <v>293</v>
      </c>
      <c r="J1" t="s">
        <v>291</v>
      </c>
    </row>
    <row r="2" spans="1:11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215</v>
      </c>
      <c r="H2" s="3">
        <f>[1]!f_info_managementfeeratio(A2)</f>
        <v>0.15</v>
      </c>
      <c r="I2" s="3">
        <f>[1]!f_info_custodianfeeratio(A2)</f>
        <v>0.05</v>
      </c>
      <c r="J2" s="7">
        <f>H2+I2</f>
        <v>0.2</v>
      </c>
      <c r="K2" s="3"/>
    </row>
    <row r="3" spans="1:11" x14ac:dyDescent="0.35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  <c r="H3" s="3">
        <f>[1]!f_info_managementfeeratio(A3)</f>
        <v>0.15</v>
      </c>
      <c r="I3" s="3">
        <f>[1]!f_info_custodianfeeratio(A3)</f>
        <v>0.05</v>
      </c>
      <c r="J3" s="7">
        <f t="shared" ref="J3:J43" si="0">H3+I3</f>
        <v>0.2</v>
      </c>
      <c r="K3" s="3"/>
    </row>
    <row r="4" spans="1:11" x14ac:dyDescent="0.3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  <c r="G4" t="s">
        <v>216</v>
      </c>
      <c r="H4" s="3">
        <f>[1]!f_info_managementfeeratio(A4)</f>
        <v>0.15</v>
      </c>
      <c r="I4" s="3">
        <f>[1]!f_info_custodianfeeratio(A4)</f>
        <v>0.05</v>
      </c>
      <c r="J4" s="7">
        <f t="shared" si="0"/>
        <v>0.2</v>
      </c>
      <c r="K4" s="3"/>
    </row>
    <row r="5" spans="1:11" x14ac:dyDescent="0.3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27</v>
      </c>
      <c r="H5" s="3">
        <f>[1]!f_info_managementfeeratio(A5)</f>
        <v>0.15</v>
      </c>
      <c r="I5" s="3">
        <f>[1]!f_info_custodianfeeratio(A5)</f>
        <v>0.05</v>
      </c>
      <c r="J5" s="7">
        <f t="shared" si="0"/>
        <v>0.2</v>
      </c>
      <c r="K5" s="3"/>
    </row>
    <row r="6" spans="1:11" x14ac:dyDescent="0.35">
      <c r="A6" t="s">
        <v>28</v>
      </c>
      <c r="B6" t="s">
        <v>29</v>
      </c>
      <c r="C6" t="s">
        <v>30</v>
      </c>
      <c r="D6" t="s">
        <v>31</v>
      </c>
      <c r="E6" t="s">
        <v>11</v>
      </c>
      <c r="F6" t="s">
        <v>22</v>
      </c>
      <c r="G6" t="s">
        <v>32</v>
      </c>
      <c r="H6" s="3">
        <f>[1]!f_info_managementfeeratio(A6)</f>
        <v>0.15</v>
      </c>
      <c r="I6" s="3">
        <f>[1]!f_info_custodianfeeratio(A6)</f>
        <v>0.05</v>
      </c>
      <c r="J6" s="7">
        <f t="shared" si="0"/>
        <v>0.2</v>
      </c>
      <c r="K6" s="3"/>
    </row>
    <row r="7" spans="1:11" x14ac:dyDescent="0.35">
      <c r="A7" t="s">
        <v>33</v>
      </c>
      <c r="B7" t="s">
        <v>34</v>
      </c>
      <c r="C7" t="s">
        <v>35</v>
      </c>
      <c r="D7" t="s">
        <v>36</v>
      </c>
      <c r="E7" t="s">
        <v>11</v>
      </c>
      <c r="F7" t="s">
        <v>12</v>
      </c>
      <c r="G7" t="s">
        <v>37</v>
      </c>
      <c r="H7" s="3">
        <f>[1]!f_info_managementfeeratio(A7)</f>
        <v>0.15</v>
      </c>
      <c r="I7" s="3">
        <f>[1]!f_info_custodianfeeratio(A7)</f>
        <v>0.05</v>
      </c>
      <c r="J7" s="7">
        <f t="shared" si="0"/>
        <v>0.2</v>
      </c>
      <c r="K7" s="3"/>
    </row>
    <row r="8" spans="1:11" x14ac:dyDescent="0.35">
      <c r="A8" t="s">
        <v>38</v>
      </c>
      <c r="B8" t="s">
        <v>39</v>
      </c>
      <c r="C8" t="s">
        <v>40</v>
      </c>
      <c r="D8" t="s">
        <v>41</v>
      </c>
      <c r="E8" t="s">
        <v>11</v>
      </c>
      <c r="F8" t="s">
        <v>22</v>
      </c>
      <c r="G8" t="s">
        <v>42</v>
      </c>
      <c r="H8" s="3">
        <f>[1]!f_info_managementfeeratio(A8)</f>
        <v>0.15</v>
      </c>
      <c r="I8" s="3">
        <f>[1]!f_info_custodianfeeratio(A8)</f>
        <v>0.05</v>
      </c>
      <c r="J8" s="7">
        <f t="shared" si="0"/>
        <v>0.2</v>
      </c>
      <c r="K8" s="3"/>
    </row>
    <row r="9" spans="1:11" x14ac:dyDescent="0.35">
      <c r="A9" t="s">
        <v>43</v>
      </c>
      <c r="B9" t="s">
        <v>44</v>
      </c>
      <c r="C9" t="s">
        <v>45</v>
      </c>
      <c r="D9" t="s">
        <v>46</v>
      </c>
      <c r="E9" t="s">
        <v>11</v>
      </c>
      <c r="F9" t="s">
        <v>12</v>
      </c>
      <c r="G9" t="s">
        <v>47</v>
      </c>
      <c r="H9" s="3">
        <f>[1]!f_info_managementfeeratio(A9)</f>
        <v>0.5</v>
      </c>
      <c r="I9" s="3">
        <f>[1]!f_info_custodianfeeratio(A9)</f>
        <v>0.1</v>
      </c>
      <c r="J9" s="7">
        <f t="shared" si="0"/>
        <v>0.6</v>
      </c>
      <c r="K9" s="3"/>
    </row>
    <row r="10" spans="1:11" x14ac:dyDescent="0.35">
      <c r="A10" t="s">
        <v>48</v>
      </c>
      <c r="B10" t="s">
        <v>49</v>
      </c>
      <c r="C10" t="s">
        <v>50</v>
      </c>
      <c r="D10" t="s">
        <v>51</v>
      </c>
      <c r="E10" t="s">
        <v>11</v>
      </c>
      <c r="F10" t="s">
        <v>12</v>
      </c>
      <c r="G10" t="s">
        <v>52</v>
      </c>
      <c r="H10" s="3">
        <f>[1]!f_info_managementfeeratio(A10)</f>
        <v>0.15</v>
      </c>
      <c r="I10" s="3">
        <f>[1]!f_info_custodianfeeratio(A10)</f>
        <v>0.05</v>
      </c>
      <c r="J10" s="7">
        <f t="shared" si="0"/>
        <v>0.2</v>
      </c>
      <c r="K10" s="3"/>
    </row>
    <row r="11" spans="1:11" x14ac:dyDescent="0.35">
      <c r="A11" t="s">
        <v>53</v>
      </c>
      <c r="B11" t="s">
        <v>54</v>
      </c>
      <c r="C11" t="s">
        <v>55</v>
      </c>
      <c r="D11" t="s">
        <v>56</v>
      </c>
      <c r="E11" t="s">
        <v>11</v>
      </c>
      <c r="F11" t="s">
        <v>22</v>
      </c>
      <c r="G11" t="s">
        <v>57</v>
      </c>
      <c r="H11" s="3">
        <f>[1]!f_info_managementfeeratio(A11)</f>
        <v>0.5</v>
      </c>
      <c r="I11" s="3">
        <f>[1]!f_info_custodianfeeratio(A11)</f>
        <v>0.1</v>
      </c>
      <c r="J11" s="7">
        <f t="shared" si="0"/>
        <v>0.6</v>
      </c>
      <c r="K11" s="3"/>
    </row>
    <row r="12" spans="1:11" x14ac:dyDescent="0.35">
      <c r="A12" t="s">
        <v>58</v>
      </c>
      <c r="B12" t="s">
        <v>59</v>
      </c>
      <c r="C12" t="s">
        <v>60</v>
      </c>
      <c r="D12" t="s">
        <v>61</v>
      </c>
      <c r="E12" t="s">
        <v>11</v>
      </c>
      <c r="F12" t="s">
        <v>22</v>
      </c>
      <c r="G12" t="s">
        <v>62</v>
      </c>
      <c r="H12" s="3">
        <f>[1]!f_info_managementfeeratio(A12)</f>
        <v>0.5</v>
      </c>
      <c r="I12" s="3">
        <f>[1]!f_info_custodianfeeratio(A12)</f>
        <v>0.1</v>
      </c>
      <c r="J12" s="7">
        <f t="shared" si="0"/>
        <v>0.6</v>
      </c>
      <c r="K12" s="3"/>
    </row>
    <row r="13" spans="1:11" x14ac:dyDescent="0.35">
      <c r="A13" t="s">
        <v>63</v>
      </c>
      <c r="B13" t="s">
        <v>64</v>
      </c>
      <c r="C13" t="s">
        <v>65</v>
      </c>
      <c r="D13" t="s">
        <v>66</v>
      </c>
      <c r="E13" t="s">
        <v>11</v>
      </c>
      <c r="F13" t="s">
        <v>22</v>
      </c>
      <c r="G13" t="s">
        <v>67</v>
      </c>
      <c r="H13" s="3">
        <f>[1]!f_info_managementfeeratio(A13)</f>
        <v>0.5</v>
      </c>
      <c r="I13" s="3">
        <f>[1]!f_info_custodianfeeratio(A13)</f>
        <v>0.1</v>
      </c>
      <c r="J13" s="7">
        <f t="shared" si="0"/>
        <v>0.6</v>
      </c>
      <c r="K13" s="3"/>
    </row>
    <row r="14" spans="1:11" x14ac:dyDescent="0.35">
      <c r="A14" t="s">
        <v>68</v>
      </c>
      <c r="B14" t="s">
        <v>69</v>
      </c>
      <c r="C14" t="s">
        <v>70</v>
      </c>
      <c r="D14" t="s">
        <v>71</v>
      </c>
      <c r="E14" t="s">
        <v>11</v>
      </c>
      <c r="F14" t="s">
        <v>22</v>
      </c>
      <c r="G14" t="s">
        <v>72</v>
      </c>
      <c r="H14" s="3">
        <f>[1]!f_info_managementfeeratio(A14)</f>
        <v>0.5</v>
      </c>
      <c r="I14" s="3">
        <f>[1]!f_info_custodianfeeratio(A14)</f>
        <v>0.1</v>
      </c>
      <c r="J14" s="7">
        <f t="shared" si="0"/>
        <v>0.6</v>
      </c>
      <c r="K14" s="3"/>
    </row>
    <row r="15" spans="1:11" x14ac:dyDescent="0.35">
      <c r="A15" t="s">
        <v>73</v>
      </c>
      <c r="B15" t="s">
        <v>74</v>
      </c>
      <c r="C15" t="s">
        <v>75</v>
      </c>
      <c r="D15" t="s">
        <v>76</v>
      </c>
      <c r="E15" t="s">
        <v>11</v>
      </c>
      <c r="F15" t="s">
        <v>22</v>
      </c>
      <c r="G15" t="s">
        <v>77</v>
      </c>
      <c r="H15" s="3">
        <f>[1]!f_info_managementfeeratio(A15)</f>
        <v>0.5</v>
      </c>
      <c r="I15" s="3">
        <f>[1]!f_info_custodianfeeratio(A15)</f>
        <v>0.1</v>
      </c>
      <c r="J15" s="7">
        <f t="shared" si="0"/>
        <v>0.6</v>
      </c>
      <c r="K15" s="3"/>
    </row>
    <row r="16" spans="1:11" x14ac:dyDescent="0.35">
      <c r="A16" t="s">
        <v>78</v>
      </c>
      <c r="B16" t="s">
        <v>79</v>
      </c>
      <c r="C16" t="s">
        <v>80</v>
      </c>
      <c r="D16" t="s">
        <v>81</v>
      </c>
      <c r="E16" t="s">
        <v>11</v>
      </c>
      <c r="F16" t="s">
        <v>22</v>
      </c>
      <c r="G16" t="s">
        <v>82</v>
      </c>
      <c r="H16" s="3">
        <f>[1]!f_info_managementfeeratio(A16)</f>
        <v>0.5</v>
      </c>
      <c r="I16" s="3">
        <f>[1]!f_info_custodianfeeratio(A16)</f>
        <v>0.1</v>
      </c>
      <c r="J16" s="7">
        <f t="shared" si="0"/>
        <v>0.6</v>
      </c>
      <c r="K16" s="3"/>
    </row>
    <row r="17" spans="1:11" x14ac:dyDescent="0.35">
      <c r="A17" t="s">
        <v>83</v>
      </c>
      <c r="B17" t="s">
        <v>84</v>
      </c>
      <c r="C17" t="s">
        <v>85</v>
      </c>
      <c r="D17" t="s">
        <v>86</v>
      </c>
      <c r="E17" t="s">
        <v>11</v>
      </c>
      <c r="F17" t="s">
        <v>22</v>
      </c>
      <c r="G17" t="s">
        <v>87</v>
      </c>
      <c r="H17" s="3">
        <f>[1]!f_info_managementfeeratio(A17)</f>
        <v>0.5</v>
      </c>
      <c r="I17" s="3">
        <f>[1]!f_info_custodianfeeratio(A17)</f>
        <v>0.1</v>
      </c>
      <c r="J17" s="7">
        <f t="shared" si="0"/>
        <v>0.6</v>
      </c>
      <c r="K17" s="3"/>
    </row>
    <row r="18" spans="1:11" x14ac:dyDescent="0.35">
      <c r="A18" t="s">
        <v>88</v>
      </c>
      <c r="B18" t="s">
        <v>89</v>
      </c>
      <c r="C18" t="s">
        <v>90</v>
      </c>
      <c r="D18" t="s">
        <v>91</v>
      </c>
      <c r="E18" t="s">
        <v>11</v>
      </c>
      <c r="F18" t="s">
        <v>22</v>
      </c>
      <c r="G18" t="s">
        <v>92</v>
      </c>
      <c r="H18" s="3">
        <f>[1]!f_info_managementfeeratio(A18)</f>
        <v>0.5</v>
      </c>
      <c r="I18" s="3">
        <f>[1]!f_info_custodianfeeratio(A18)</f>
        <v>0.1</v>
      </c>
      <c r="J18" s="7">
        <f t="shared" si="0"/>
        <v>0.6</v>
      </c>
      <c r="K18" s="3"/>
    </row>
    <row r="19" spans="1:11" x14ac:dyDescent="0.35">
      <c r="A19" t="s">
        <v>93</v>
      </c>
      <c r="B19" t="s">
        <v>94</v>
      </c>
      <c r="C19" t="s">
        <v>95</v>
      </c>
      <c r="D19" t="s">
        <v>96</v>
      </c>
      <c r="E19" t="s">
        <v>11</v>
      </c>
      <c r="F19" t="s">
        <v>22</v>
      </c>
      <c r="G19" t="s">
        <v>97</v>
      </c>
      <c r="H19" s="3">
        <f>[1]!f_info_managementfeeratio(A19)</f>
        <v>0.5</v>
      </c>
      <c r="I19" s="3">
        <f>[1]!f_info_custodianfeeratio(A19)</f>
        <v>0.1</v>
      </c>
      <c r="J19" s="7">
        <f t="shared" si="0"/>
        <v>0.6</v>
      </c>
      <c r="K19" s="3"/>
    </row>
    <row r="20" spans="1:11" x14ac:dyDescent="0.35">
      <c r="A20" t="s">
        <v>98</v>
      </c>
      <c r="B20" t="s">
        <v>99</v>
      </c>
      <c r="C20" t="s">
        <v>100</v>
      </c>
      <c r="D20" t="s">
        <v>101</v>
      </c>
      <c r="E20" t="s">
        <v>11</v>
      </c>
      <c r="F20" t="s">
        <v>22</v>
      </c>
      <c r="G20" t="s">
        <v>102</v>
      </c>
      <c r="H20" s="3">
        <f>[1]!f_info_managementfeeratio(A20)</f>
        <v>0.5</v>
      </c>
      <c r="I20" s="3">
        <f>[1]!f_info_custodianfeeratio(A20)</f>
        <v>0.1</v>
      </c>
      <c r="J20" s="7">
        <f t="shared" si="0"/>
        <v>0.6</v>
      </c>
      <c r="K20" s="3"/>
    </row>
    <row r="21" spans="1:11" x14ac:dyDescent="0.35">
      <c r="A21" t="s">
        <v>103</v>
      </c>
      <c r="B21" t="s">
        <v>104</v>
      </c>
      <c r="C21" t="s">
        <v>105</v>
      </c>
      <c r="D21" t="s">
        <v>106</v>
      </c>
      <c r="E21" t="s">
        <v>11</v>
      </c>
      <c r="F21" t="s">
        <v>22</v>
      </c>
      <c r="G21" t="s">
        <v>107</v>
      </c>
      <c r="H21" s="3">
        <f>[1]!f_info_managementfeeratio(A21)</f>
        <v>0.5</v>
      </c>
      <c r="I21" s="3">
        <f>[1]!f_info_custodianfeeratio(A21)</f>
        <v>0.1</v>
      </c>
      <c r="J21" s="7">
        <f t="shared" si="0"/>
        <v>0.6</v>
      </c>
      <c r="K21" s="3"/>
    </row>
    <row r="22" spans="1:11" x14ac:dyDescent="0.35">
      <c r="A22" t="s">
        <v>108</v>
      </c>
      <c r="B22" t="s">
        <v>109</v>
      </c>
      <c r="C22" t="s">
        <v>110</v>
      </c>
      <c r="D22" t="s">
        <v>111</v>
      </c>
      <c r="E22" t="s">
        <v>11</v>
      </c>
      <c r="F22" t="s">
        <v>22</v>
      </c>
      <c r="G22" t="s">
        <v>112</v>
      </c>
      <c r="H22" s="3">
        <f>[1]!f_info_managementfeeratio(A22)</f>
        <v>0.5</v>
      </c>
      <c r="I22" s="3">
        <f>[1]!f_info_custodianfeeratio(A22)</f>
        <v>0.1</v>
      </c>
      <c r="J22" s="7">
        <f t="shared" si="0"/>
        <v>0.6</v>
      </c>
      <c r="K22" s="3"/>
    </row>
    <row r="23" spans="1:11" x14ac:dyDescent="0.35">
      <c r="A23" t="s">
        <v>113</v>
      </c>
      <c r="B23" t="s">
        <v>114</v>
      </c>
      <c r="C23" t="s">
        <v>115</v>
      </c>
      <c r="D23" t="s">
        <v>116</v>
      </c>
      <c r="E23" t="s">
        <v>11</v>
      </c>
      <c r="F23" t="s">
        <v>22</v>
      </c>
      <c r="G23" t="s">
        <v>117</v>
      </c>
      <c r="H23" s="3">
        <f>[1]!f_info_managementfeeratio(A23)</f>
        <v>0.15</v>
      </c>
      <c r="I23" s="3">
        <f>[1]!f_info_custodianfeeratio(A23)</f>
        <v>0.05</v>
      </c>
      <c r="J23" s="7">
        <f t="shared" si="0"/>
        <v>0.2</v>
      </c>
      <c r="K23" s="3"/>
    </row>
    <row r="24" spans="1:11" x14ac:dyDescent="0.35">
      <c r="A24" t="s">
        <v>118</v>
      </c>
      <c r="B24" t="s">
        <v>119</v>
      </c>
      <c r="C24" t="s">
        <v>120</v>
      </c>
      <c r="D24" t="s">
        <v>121</v>
      </c>
      <c r="E24" t="s">
        <v>11</v>
      </c>
      <c r="F24" t="s">
        <v>22</v>
      </c>
      <c r="G24" t="s">
        <v>122</v>
      </c>
      <c r="H24" s="3">
        <f>[1]!f_info_managementfeeratio(A24)</f>
        <v>0.5</v>
      </c>
      <c r="I24" s="3">
        <f>[1]!f_info_custodianfeeratio(A24)</f>
        <v>0.1</v>
      </c>
      <c r="J24" s="7">
        <f t="shared" si="0"/>
        <v>0.6</v>
      </c>
      <c r="K24" s="3"/>
    </row>
    <row r="25" spans="1:11" x14ac:dyDescent="0.35">
      <c r="A25" t="s">
        <v>123</v>
      </c>
      <c r="B25" t="s">
        <v>124</v>
      </c>
      <c r="C25" t="s">
        <v>125</v>
      </c>
      <c r="D25" t="s">
        <v>126</v>
      </c>
      <c r="E25" t="s">
        <v>11</v>
      </c>
      <c r="F25" t="s">
        <v>22</v>
      </c>
      <c r="G25" t="s">
        <v>127</v>
      </c>
      <c r="H25" s="3">
        <f>[1]!f_info_managementfeeratio(A25)</f>
        <v>0.5</v>
      </c>
      <c r="I25" s="3">
        <f>[1]!f_info_custodianfeeratio(A25)</f>
        <v>0.1</v>
      </c>
      <c r="J25" s="7">
        <f t="shared" si="0"/>
        <v>0.6</v>
      </c>
      <c r="K25" s="3"/>
    </row>
    <row r="26" spans="1:11" x14ac:dyDescent="0.35">
      <c r="A26" t="s">
        <v>128</v>
      </c>
      <c r="B26" t="s">
        <v>129</v>
      </c>
      <c r="C26" t="s">
        <v>130</v>
      </c>
      <c r="D26" t="s">
        <v>131</v>
      </c>
      <c r="E26" t="s">
        <v>11</v>
      </c>
      <c r="F26" t="s">
        <v>22</v>
      </c>
      <c r="G26" t="s">
        <v>132</v>
      </c>
      <c r="H26" s="3">
        <f>[1]!f_info_managementfeeratio(A26)</f>
        <v>0.5</v>
      </c>
      <c r="I26" s="3">
        <f>[1]!f_info_custodianfeeratio(A26)</f>
        <v>0.1</v>
      </c>
      <c r="J26" s="7">
        <f t="shared" si="0"/>
        <v>0.6</v>
      </c>
      <c r="K26" s="3"/>
    </row>
    <row r="27" spans="1:11" x14ac:dyDescent="0.35">
      <c r="A27" t="s">
        <v>133</v>
      </c>
      <c r="B27" t="s">
        <v>134</v>
      </c>
      <c r="C27" t="s">
        <v>135</v>
      </c>
      <c r="D27" t="s">
        <v>136</v>
      </c>
      <c r="E27" t="s">
        <v>11</v>
      </c>
      <c r="F27" t="s">
        <v>22</v>
      </c>
      <c r="G27" t="s">
        <v>137</v>
      </c>
      <c r="H27" s="3">
        <f>[1]!f_info_managementfeeratio(A27)</f>
        <v>0.5</v>
      </c>
      <c r="I27" s="3">
        <f>[1]!f_info_custodianfeeratio(A27)</f>
        <v>0.1</v>
      </c>
      <c r="J27" s="7">
        <f t="shared" si="0"/>
        <v>0.6</v>
      </c>
      <c r="K27" s="3"/>
    </row>
    <row r="28" spans="1:11" x14ac:dyDescent="0.35">
      <c r="A28" t="s">
        <v>138</v>
      </c>
      <c r="B28" t="s">
        <v>139</v>
      </c>
      <c r="C28" t="s">
        <v>140</v>
      </c>
      <c r="D28" t="s">
        <v>141</v>
      </c>
      <c r="E28" t="s">
        <v>11</v>
      </c>
      <c r="F28" t="s">
        <v>22</v>
      </c>
      <c r="G28" t="s">
        <v>142</v>
      </c>
      <c r="H28" s="3">
        <f>[1]!f_info_managementfeeratio(A28)</f>
        <v>0.5</v>
      </c>
      <c r="I28" s="3">
        <f>[1]!f_info_custodianfeeratio(A28)</f>
        <v>0.05</v>
      </c>
      <c r="J28" s="7">
        <f t="shared" si="0"/>
        <v>0.55000000000000004</v>
      </c>
      <c r="K28" s="3"/>
    </row>
    <row r="29" spans="1:11" x14ac:dyDescent="0.35">
      <c r="A29" t="s">
        <v>143</v>
      </c>
      <c r="B29" t="s">
        <v>144</v>
      </c>
      <c r="C29" t="s">
        <v>145</v>
      </c>
      <c r="D29" t="s">
        <v>146</v>
      </c>
      <c r="E29" t="s">
        <v>11</v>
      </c>
      <c r="F29" t="s">
        <v>22</v>
      </c>
      <c r="G29" t="s">
        <v>147</v>
      </c>
      <c r="H29" s="3">
        <f>[1]!f_info_managementfeeratio(A29)</f>
        <v>0.5</v>
      </c>
      <c r="I29" s="3">
        <f>[1]!f_info_custodianfeeratio(A29)</f>
        <v>0.1</v>
      </c>
      <c r="J29" s="7">
        <f t="shared" si="0"/>
        <v>0.6</v>
      </c>
      <c r="K29" s="3"/>
    </row>
    <row r="30" spans="1:11" x14ac:dyDescent="0.35">
      <c r="A30" t="s">
        <v>148</v>
      </c>
      <c r="B30" t="s">
        <v>149</v>
      </c>
      <c r="C30" t="s">
        <v>150</v>
      </c>
      <c r="D30" t="s">
        <v>151</v>
      </c>
      <c r="E30" t="s">
        <v>11</v>
      </c>
      <c r="F30" t="s">
        <v>22</v>
      </c>
      <c r="G30" t="s">
        <v>152</v>
      </c>
      <c r="H30" s="3">
        <f>[1]!f_info_managementfeeratio(A30)</f>
        <v>0.5</v>
      </c>
      <c r="I30" s="3">
        <f>[1]!f_info_custodianfeeratio(A30)</f>
        <v>0.1</v>
      </c>
      <c r="J30" s="7">
        <f t="shared" si="0"/>
        <v>0.6</v>
      </c>
      <c r="K30" s="3"/>
    </row>
    <row r="31" spans="1:11" x14ac:dyDescent="0.35">
      <c r="A31" t="s">
        <v>153</v>
      </c>
      <c r="B31" t="s">
        <v>154</v>
      </c>
      <c r="C31" t="s">
        <v>155</v>
      </c>
      <c r="D31" t="s">
        <v>156</v>
      </c>
      <c r="E31" t="s">
        <v>11</v>
      </c>
      <c r="F31" t="s">
        <v>22</v>
      </c>
      <c r="G31" t="s">
        <v>157</v>
      </c>
      <c r="H31" s="3">
        <f>[1]!f_info_managementfeeratio(A31)</f>
        <v>0.5</v>
      </c>
      <c r="I31" s="3">
        <f>[1]!f_info_custodianfeeratio(A31)</f>
        <v>0.1</v>
      </c>
      <c r="J31" s="7">
        <f t="shared" si="0"/>
        <v>0.6</v>
      </c>
      <c r="K31" s="3"/>
    </row>
    <row r="32" spans="1:11" x14ac:dyDescent="0.3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12</v>
      </c>
      <c r="G32" t="s">
        <v>158</v>
      </c>
      <c r="H32" s="3">
        <f>[1]!f_info_managementfeeratio(A32)</f>
        <v>0.15</v>
      </c>
      <c r="I32" s="3">
        <f>[1]!f_info_custodianfeeratio(A32)</f>
        <v>0.05</v>
      </c>
      <c r="J32" s="7">
        <f t="shared" si="0"/>
        <v>0.2</v>
      </c>
      <c r="K32" s="3"/>
    </row>
    <row r="33" spans="1:11" x14ac:dyDescent="0.35">
      <c r="A33" t="s">
        <v>163</v>
      </c>
      <c r="B33" t="s">
        <v>164</v>
      </c>
      <c r="C33" t="s">
        <v>165</v>
      </c>
      <c r="D33" t="s">
        <v>166</v>
      </c>
      <c r="E33" t="s">
        <v>162</v>
      </c>
      <c r="F33" t="s">
        <v>12</v>
      </c>
      <c r="G33" t="s">
        <v>163</v>
      </c>
      <c r="H33" s="3">
        <f>[1]!f_info_managementfeeratio(A33)</f>
        <v>0.15</v>
      </c>
      <c r="I33" s="3">
        <f>[1]!f_info_custodianfeeratio(A33)</f>
        <v>0.05</v>
      </c>
      <c r="J33" s="7">
        <f t="shared" si="0"/>
        <v>0.2</v>
      </c>
      <c r="K33" s="3"/>
    </row>
    <row r="34" spans="1:11" x14ac:dyDescent="0.35">
      <c r="A34" t="s">
        <v>167</v>
      </c>
      <c r="B34" t="s">
        <v>168</v>
      </c>
      <c r="C34" t="s">
        <v>169</v>
      </c>
      <c r="D34" t="s">
        <v>170</v>
      </c>
      <c r="E34" t="s">
        <v>162</v>
      </c>
      <c r="F34" t="s">
        <v>12</v>
      </c>
      <c r="G34" t="s">
        <v>167</v>
      </c>
      <c r="H34" s="3">
        <f>[1]!f_info_managementfeeratio(A34)</f>
        <v>0.15</v>
      </c>
      <c r="I34" s="3">
        <f>[1]!f_info_custodianfeeratio(A34)</f>
        <v>0.05</v>
      </c>
      <c r="J34" s="7">
        <f t="shared" si="0"/>
        <v>0.2</v>
      </c>
      <c r="K34" s="3"/>
    </row>
    <row r="35" spans="1:11" x14ac:dyDescent="0.35">
      <c r="A35" t="s">
        <v>171</v>
      </c>
      <c r="B35" t="s">
        <v>172</v>
      </c>
      <c r="C35" t="s">
        <v>173</v>
      </c>
      <c r="D35" t="s">
        <v>174</v>
      </c>
      <c r="E35" t="s">
        <v>162</v>
      </c>
      <c r="F35" t="s">
        <v>22</v>
      </c>
      <c r="G35" t="s">
        <v>171</v>
      </c>
      <c r="H35" s="3">
        <f>[1]!f_info_managementfeeratio(A35)</f>
        <v>0.15</v>
      </c>
      <c r="I35" s="3">
        <f>[1]!f_info_custodianfeeratio(A35)</f>
        <v>7.0000000000000007E-2</v>
      </c>
      <c r="J35" s="7">
        <f t="shared" si="0"/>
        <v>0.22</v>
      </c>
      <c r="K35" s="3"/>
    </row>
    <row r="36" spans="1:11" x14ac:dyDescent="0.35">
      <c r="A36" t="s">
        <v>175</v>
      </c>
      <c r="B36" t="s">
        <v>176</v>
      </c>
      <c r="C36" t="s">
        <v>177</v>
      </c>
      <c r="D36" t="s">
        <v>178</v>
      </c>
      <c r="E36" t="s">
        <v>162</v>
      </c>
      <c r="F36" t="s">
        <v>12</v>
      </c>
      <c r="G36" t="s">
        <v>175</v>
      </c>
      <c r="H36" s="3">
        <f>[1]!f_info_managementfeeratio(A36)</f>
        <v>0.15</v>
      </c>
      <c r="I36" s="3">
        <f>[1]!f_info_custodianfeeratio(A36)</f>
        <v>0.05</v>
      </c>
      <c r="J36" s="7">
        <f t="shared" si="0"/>
        <v>0.2</v>
      </c>
      <c r="K36" s="3"/>
    </row>
    <row r="37" spans="1:11" x14ac:dyDescent="0.35">
      <c r="A37" t="s">
        <v>179</v>
      </c>
      <c r="B37" t="s">
        <v>180</v>
      </c>
      <c r="C37" t="s">
        <v>181</v>
      </c>
      <c r="D37" t="s">
        <v>182</v>
      </c>
      <c r="E37" t="s">
        <v>162</v>
      </c>
      <c r="F37" t="s">
        <v>12</v>
      </c>
      <c r="G37" t="s">
        <v>183</v>
      </c>
      <c r="H37" s="3">
        <f>[1]!f_info_managementfeeratio(A37)</f>
        <v>0.15</v>
      </c>
      <c r="I37" s="3">
        <f>[1]!f_info_custodianfeeratio(A37)</f>
        <v>0.05</v>
      </c>
      <c r="J37" s="7">
        <f t="shared" si="0"/>
        <v>0.2</v>
      </c>
      <c r="K37" s="3"/>
    </row>
    <row r="38" spans="1:11" x14ac:dyDescent="0.35">
      <c r="A38" t="s">
        <v>184</v>
      </c>
      <c r="B38" t="s">
        <v>185</v>
      </c>
      <c r="C38" t="s">
        <v>186</v>
      </c>
      <c r="D38" t="s">
        <v>187</v>
      </c>
      <c r="E38" t="s">
        <v>162</v>
      </c>
      <c r="F38" t="s">
        <v>12</v>
      </c>
      <c r="G38" t="s">
        <v>184</v>
      </c>
      <c r="H38" s="3">
        <f>[1]!f_info_managementfeeratio(A38)</f>
        <v>0.15</v>
      </c>
      <c r="I38" s="3">
        <f>[1]!f_info_custodianfeeratio(A38)</f>
        <v>0.05</v>
      </c>
      <c r="J38" s="7">
        <f t="shared" si="0"/>
        <v>0.2</v>
      </c>
      <c r="K38" s="3"/>
    </row>
    <row r="39" spans="1:11" x14ac:dyDescent="0.35">
      <c r="A39" t="s">
        <v>188</v>
      </c>
      <c r="B39" t="s">
        <v>189</v>
      </c>
      <c r="C39" t="s">
        <v>190</v>
      </c>
      <c r="D39" t="s">
        <v>191</v>
      </c>
      <c r="E39" t="s">
        <v>192</v>
      </c>
      <c r="F39" t="s">
        <v>12</v>
      </c>
      <c r="G39" t="s">
        <v>193</v>
      </c>
      <c r="H39" s="3">
        <f>[1]!f_info_managementfeeratio(A39)</f>
        <v>0.6</v>
      </c>
      <c r="I39" s="3">
        <f>[1]!f_info_custodianfeeratio(A39)</f>
        <v>0.1</v>
      </c>
      <c r="J39" s="7">
        <f t="shared" si="0"/>
        <v>0.7</v>
      </c>
      <c r="K39" s="3"/>
    </row>
    <row r="40" spans="1:11" x14ac:dyDescent="0.35">
      <c r="A40" t="s">
        <v>194</v>
      </c>
      <c r="B40" t="s">
        <v>195</v>
      </c>
      <c r="C40" t="s">
        <v>196</v>
      </c>
      <c r="D40" t="s">
        <v>197</v>
      </c>
      <c r="E40" t="s">
        <v>192</v>
      </c>
      <c r="F40" t="s">
        <v>12</v>
      </c>
      <c r="G40" t="s">
        <v>198</v>
      </c>
      <c r="H40" s="3">
        <f>[1]!f_info_managementfeeratio(A40)</f>
        <v>0.5</v>
      </c>
      <c r="I40" s="3">
        <f>[1]!f_info_custodianfeeratio(A40)</f>
        <v>0.1</v>
      </c>
      <c r="J40" s="7">
        <f t="shared" si="0"/>
        <v>0.6</v>
      </c>
      <c r="K40" s="3"/>
    </row>
    <row r="41" spans="1:11" x14ac:dyDescent="0.35">
      <c r="A41" t="s">
        <v>199</v>
      </c>
      <c r="B41" t="s">
        <v>200</v>
      </c>
      <c r="C41" t="s">
        <v>201</v>
      </c>
      <c r="D41" t="s">
        <v>202</v>
      </c>
      <c r="E41" t="s">
        <v>192</v>
      </c>
      <c r="F41" t="s">
        <v>12</v>
      </c>
      <c r="G41" t="s">
        <v>203</v>
      </c>
      <c r="H41" s="3">
        <f>[1]!f_info_managementfeeratio(A41)</f>
        <v>0.5</v>
      </c>
      <c r="I41" s="3">
        <f>[1]!f_info_custodianfeeratio(A41)</f>
        <v>0.1</v>
      </c>
      <c r="J41" s="7">
        <f t="shared" si="0"/>
        <v>0.6</v>
      </c>
      <c r="K41" s="3"/>
    </row>
    <row r="42" spans="1:11" x14ac:dyDescent="0.35">
      <c r="A42" t="s">
        <v>204</v>
      </c>
      <c r="B42" t="s">
        <v>205</v>
      </c>
      <c r="C42" t="s">
        <v>206</v>
      </c>
      <c r="D42" t="s">
        <v>207</v>
      </c>
      <c r="E42" t="s">
        <v>208</v>
      </c>
      <c r="F42" t="s">
        <v>12</v>
      </c>
      <c r="G42" t="s">
        <v>209</v>
      </c>
      <c r="H42" s="3">
        <f>[1]!f_info_managementfeeratio(A42)</f>
        <v>0.5</v>
      </c>
      <c r="I42" s="3">
        <f>[1]!f_info_custodianfeeratio(A42)</f>
        <v>0.1</v>
      </c>
      <c r="J42" s="7">
        <f t="shared" si="0"/>
        <v>0.6</v>
      </c>
      <c r="K42" s="3"/>
    </row>
    <row r="43" spans="1:11" x14ac:dyDescent="0.35">
      <c r="A43" t="s">
        <v>210</v>
      </c>
      <c r="B43" t="s">
        <v>211</v>
      </c>
      <c r="C43" t="s">
        <v>212</v>
      </c>
      <c r="D43" t="s">
        <v>213</v>
      </c>
      <c r="E43" t="s">
        <v>214</v>
      </c>
      <c r="F43" t="s">
        <v>12</v>
      </c>
      <c r="G43" t="s">
        <v>210</v>
      </c>
      <c r="H43" s="3">
        <f>[1]!f_info_managementfeeratio(A43)</f>
        <v>0.15</v>
      </c>
      <c r="I43" s="3">
        <f>[1]!f_info_custodianfeeratio(A43)</f>
        <v>0.05</v>
      </c>
      <c r="J43" s="7">
        <f t="shared" si="0"/>
        <v>0.2</v>
      </c>
      <c r="K43" s="3"/>
    </row>
    <row r="54" spans="2:2" x14ac:dyDescent="0.35">
      <c r="B54" s="1"/>
    </row>
    <row r="55" spans="2:2" x14ac:dyDescent="0.35">
      <c r="B55" s="1"/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A90B6-5420-4095-9952-15736D2DF76E}">
  <dimension ref="A1:KX308"/>
  <sheetViews>
    <sheetView tabSelected="1" topLeftCell="A250" workbookViewId="0">
      <selection activeCell="A2" sqref="A2:A308"/>
    </sheetView>
  </sheetViews>
  <sheetFormatPr defaultRowHeight="14.15" x14ac:dyDescent="0.35"/>
  <cols>
    <col min="1" max="1" width="10.85546875" customWidth="1"/>
    <col min="2" max="2" width="11.35546875" customWidth="1"/>
    <col min="7" max="7" width="11.0703125" bestFit="1" customWidth="1"/>
  </cols>
  <sheetData>
    <row r="1" spans="1:310" x14ac:dyDescent="0.35">
      <c r="A1" t="s">
        <v>519</v>
      </c>
      <c r="B1" t="s">
        <v>520</v>
      </c>
      <c r="C1" t="s">
        <v>521</v>
      </c>
      <c r="D1" t="s">
        <v>522</v>
      </c>
      <c r="E1" t="s">
        <v>523</v>
      </c>
    </row>
    <row r="2" spans="1:310" x14ac:dyDescent="0.35">
      <c r="A2" t="s">
        <v>253</v>
      </c>
      <c r="B2" t="str">
        <f>[1]!f_info_etfornot(A2)</f>
        <v>是</v>
      </c>
      <c r="C2" t="str">
        <f>[1]!s_info_exchmarket(A2)</f>
        <v>上海</v>
      </c>
      <c r="D2" t="str">
        <f>[1]!f_info_trackindexcode(A2)</f>
        <v>000300.SH</v>
      </c>
      <c r="E2" t="str">
        <f>[1]!f_info_trackindexname(A2)</f>
        <v>沪深300</v>
      </c>
      <c r="KW2" s="8" t="s">
        <v>524</v>
      </c>
      <c r="KX2" s="9">
        <v>45995</v>
      </c>
    </row>
    <row r="3" spans="1:310" x14ac:dyDescent="0.35">
      <c r="A3" t="s">
        <v>261</v>
      </c>
      <c r="B3" t="str">
        <f>[1]!f_info_etfornot(A3)</f>
        <v>是</v>
      </c>
      <c r="C3" t="str">
        <f>[1]!s_info_exchmarket(A3)</f>
        <v>上海</v>
      </c>
      <c r="D3" t="str">
        <f>[1]!f_info_trackindexcode(A3)</f>
        <v>000300.SH</v>
      </c>
      <c r="E3" t="str">
        <f>[1]!f_info_trackindexname(A3)</f>
        <v>沪深300</v>
      </c>
      <c r="KW3" s="8" t="s">
        <v>525</v>
      </c>
      <c r="KX3" s="9" t="s">
        <v>526</v>
      </c>
    </row>
    <row r="4" spans="1:310" x14ac:dyDescent="0.35">
      <c r="A4" t="s">
        <v>235</v>
      </c>
      <c r="B4" t="str">
        <f>[1]!f_info_etfornot(A4)</f>
        <v>是</v>
      </c>
      <c r="C4" t="str">
        <f>[1]!s_info_exchmarket(A4)</f>
        <v>深圳</v>
      </c>
      <c r="D4" t="str">
        <f>[1]!f_info_trackindexcode(A4)</f>
        <v>000300.SH</v>
      </c>
      <c r="E4" t="str">
        <f>[1]!f_info_trackindexname(A4)</f>
        <v>沪深300</v>
      </c>
      <c r="KW4" s="10" t="s">
        <v>289</v>
      </c>
      <c r="KX4" s="11" t="s">
        <v>532</v>
      </c>
    </row>
    <row r="5" spans="1:310" x14ac:dyDescent="0.35">
      <c r="A5" t="s">
        <v>249</v>
      </c>
      <c r="B5" t="str">
        <f>[1]!f_info_etfornot(A5)</f>
        <v>是</v>
      </c>
      <c r="C5" t="str">
        <f>[1]!s_info_exchmarket(A5)</f>
        <v>上海</v>
      </c>
      <c r="D5" t="str">
        <f>[1]!f_info_trackindexcode(A5)</f>
        <v>000300.SH</v>
      </c>
      <c r="E5" t="str">
        <f>[1]!f_info_trackindexname(A5)</f>
        <v>沪深300</v>
      </c>
    </row>
    <row r="6" spans="1:310" x14ac:dyDescent="0.35">
      <c r="A6" t="s">
        <v>257</v>
      </c>
      <c r="B6" t="str">
        <f>[1]!f_info_etfornot(A6)</f>
        <v>是</v>
      </c>
      <c r="C6" t="str">
        <f>[1]!s_info_exchmarket(A6)</f>
        <v>上海</v>
      </c>
      <c r="D6" t="str">
        <f>[1]!f_info_trackindexcode(A6)</f>
        <v>000300.SH</v>
      </c>
      <c r="E6" t="str">
        <f>[1]!f_info_trackindexname(A6)</f>
        <v>沪深300</v>
      </c>
    </row>
    <row r="7" spans="1:310" x14ac:dyDescent="0.35">
      <c r="A7" t="s">
        <v>229</v>
      </c>
      <c r="B7" t="str">
        <f>[1]!f_info_etfornot(A7)</f>
        <v>是</v>
      </c>
      <c r="C7" t="str">
        <f>[1]!s_info_exchmarket(A7)</f>
        <v>上海</v>
      </c>
      <c r="D7" t="str">
        <f>[1]!f_info_trackindexcode(A7)</f>
        <v>000300.SH</v>
      </c>
      <c r="E7" t="str">
        <f>[1]!f_info_trackindexname(A7)</f>
        <v>沪深300</v>
      </c>
    </row>
    <row r="8" spans="1:310" x14ac:dyDescent="0.35">
      <c r="A8" t="s">
        <v>263</v>
      </c>
      <c r="B8" t="str">
        <f>[1]!f_info_etfornot(A8)</f>
        <v>是</v>
      </c>
      <c r="C8" t="str">
        <f>[1]!s_info_exchmarket(A8)</f>
        <v>上海</v>
      </c>
      <c r="D8" t="str">
        <f>[1]!f_info_trackindexcode(A8)</f>
        <v>000300.SH</v>
      </c>
      <c r="E8" t="str">
        <f>[1]!f_info_trackindexname(A8)</f>
        <v>沪深300</v>
      </c>
    </row>
    <row r="9" spans="1:310" x14ac:dyDescent="0.35">
      <c r="A9" t="s">
        <v>279</v>
      </c>
      <c r="B9" t="str">
        <f>[1]!f_info_etfornot(A9)</f>
        <v>是</v>
      </c>
      <c r="C9" t="str">
        <f>[1]!s_info_exchmarket(A9)</f>
        <v>香港联交所</v>
      </c>
      <c r="D9" t="str">
        <f>[1]!f_info_trackindexcode(A9)</f>
        <v>000300.SH</v>
      </c>
      <c r="E9" t="str">
        <f>[1]!f_info_trackindexname(A9)</f>
        <v>沪深300</v>
      </c>
    </row>
    <row r="10" spans="1:310" x14ac:dyDescent="0.35">
      <c r="A10" t="s">
        <v>218</v>
      </c>
      <c r="B10" t="str">
        <f>[1]!f_info_etfornot(A10)</f>
        <v>是</v>
      </c>
      <c r="C10" t="str">
        <f>[1]!s_info_exchmarket(A10)</f>
        <v>上海</v>
      </c>
      <c r="D10" t="str">
        <f>[1]!f_info_trackindexcode(A10)</f>
        <v>000300.SH</v>
      </c>
      <c r="E10" t="str">
        <f>[1]!f_info_trackindexname(A10)</f>
        <v>沪深300</v>
      </c>
    </row>
    <row r="11" spans="1:310" x14ac:dyDescent="0.35">
      <c r="A11" t="s">
        <v>251</v>
      </c>
      <c r="B11" t="str">
        <f>[1]!f_info_etfornot(A11)</f>
        <v>是</v>
      </c>
      <c r="C11" t="str">
        <f>[1]!s_info_exchmarket(A11)</f>
        <v>上海</v>
      </c>
      <c r="D11" t="str">
        <f>[1]!f_info_trackindexcode(A11)</f>
        <v>000300.SH</v>
      </c>
      <c r="E11" t="str">
        <f>[1]!f_info_trackindexname(A11)</f>
        <v>沪深300</v>
      </c>
    </row>
    <row r="12" spans="1:310" x14ac:dyDescent="0.35">
      <c r="A12" t="s">
        <v>245</v>
      </c>
      <c r="B12" t="str">
        <f>[1]!f_info_etfornot(A12)</f>
        <v>是</v>
      </c>
      <c r="C12" t="str">
        <f>[1]!s_info_exchmarket(A12)</f>
        <v>深圳</v>
      </c>
      <c r="D12" t="str">
        <f>[1]!f_info_trackindexcode(A12)</f>
        <v>000300.SH</v>
      </c>
      <c r="E12" t="str">
        <f>[1]!f_info_trackindexname(A12)</f>
        <v>沪深300</v>
      </c>
    </row>
    <row r="13" spans="1:310" x14ac:dyDescent="0.35">
      <c r="A13" t="s">
        <v>231</v>
      </c>
      <c r="B13" t="str">
        <f>[1]!f_info_etfornot(A13)</f>
        <v>是</v>
      </c>
      <c r="C13" t="str">
        <f>[1]!s_info_exchmarket(A13)</f>
        <v>上海</v>
      </c>
      <c r="D13" t="str">
        <f>[1]!f_info_trackindexcode(A13)</f>
        <v>000300.SH</v>
      </c>
      <c r="E13" t="str">
        <f>[1]!f_info_trackindexname(A13)</f>
        <v>沪深300</v>
      </c>
    </row>
    <row r="14" spans="1:310" x14ac:dyDescent="0.35">
      <c r="A14" t="s">
        <v>247</v>
      </c>
      <c r="B14" t="str">
        <f>[1]!f_info_etfornot(A14)</f>
        <v>是</v>
      </c>
      <c r="C14" t="str">
        <f>[1]!s_info_exchmarket(A14)</f>
        <v>上海</v>
      </c>
      <c r="D14" t="str">
        <f>[1]!f_info_trackindexcode(A14)</f>
        <v>000300.SH</v>
      </c>
      <c r="E14" t="str">
        <f>[1]!f_info_trackindexname(A14)</f>
        <v>沪深300</v>
      </c>
    </row>
    <row r="15" spans="1:310" x14ac:dyDescent="0.35">
      <c r="A15" t="s">
        <v>259</v>
      </c>
      <c r="B15" t="str">
        <f>[1]!f_info_etfornot(A15)</f>
        <v>是</v>
      </c>
      <c r="C15" t="str">
        <f>[1]!s_info_exchmarket(A15)</f>
        <v>上海</v>
      </c>
      <c r="D15" t="str">
        <f>[1]!f_info_trackindexcode(A15)</f>
        <v>000300.SH</v>
      </c>
      <c r="E15" t="str">
        <f>[1]!f_info_trackindexname(A15)</f>
        <v>沪深300</v>
      </c>
    </row>
    <row r="16" spans="1:310" x14ac:dyDescent="0.35">
      <c r="A16" t="s">
        <v>280</v>
      </c>
      <c r="B16" t="str">
        <f>[1]!f_info_etfornot(A16)</f>
        <v>是</v>
      </c>
      <c r="C16" t="str">
        <f>[1]!s_info_exchmarket(A16)</f>
        <v>香港联交所</v>
      </c>
      <c r="D16" t="str">
        <f>[1]!f_info_trackindexcode(A16)</f>
        <v>000300.SH</v>
      </c>
      <c r="E16" t="str">
        <f>[1]!f_info_trackindexname(A16)</f>
        <v>沪深300</v>
      </c>
    </row>
    <row r="17" spans="1:5" x14ac:dyDescent="0.35">
      <c r="A17" t="s">
        <v>281</v>
      </c>
      <c r="B17" t="str">
        <f>[1]!f_info_etfornot(A17)</f>
        <v>是</v>
      </c>
      <c r="C17" t="str">
        <f>[1]!s_info_exchmarket(A17)</f>
        <v>香港联交所</v>
      </c>
      <c r="D17" t="str">
        <f>[1]!f_info_trackindexcode(A17)</f>
        <v>000300.SH</v>
      </c>
      <c r="E17" t="str">
        <f>[1]!f_info_trackindexname(A17)</f>
        <v>沪深300</v>
      </c>
    </row>
    <row r="18" spans="1:5" x14ac:dyDescent="0.35">
      <c r="A18" t="s">
        <v>282</v>
      </c>
      <c r="B18" t="str">
        <f>[1]!f_info_etfornot(A18)</f>
        <v>是</v>
      </c>
      <c r="C18" t="str">
        <f>[1]!s_info_exchmarket(A18)</f>
        <v>香港联交所</v>
      </c>
      <c r="D18" t="str">
        <f>[1]!f_info_trackindexcode(A18)</f>
        <v>000300.SH</v>
      </c>
      <c r="E18" t="str">
        <f>[1]!f_info_trackindexname(A18)</f>
        <v>沪深300</v>
      </c>
    </row>
    <row r="19" spans="1:5" x14ac:dyDescent="0.35">
      <c r="A19" t="s">
        <v>241</v>
      </c>
      <c r="B19" t="str">
        <f>[1]!f_info_etfornot(A19)</f>
        <v>是</v>
      </c>
      <c r="C19" t="str">
        <f>[1]!s_info_exchmarket(A19)</f>
        <v>上海</v>
      </c>
      <c r="D19" t="str">
        <f>[1]!f_info_trackindexcode(A19)</f>
        <v>000300.SH</v>
      </c>
      <c r="E19" t="str">
        <f>[1]!f_info_trackindexname(A19)</f>
        <v>沪深300</v>
      </c>
    </row>
    <row r="20" spans="1:5" x14ac:dyDescent="0.35">
      <c r="A20" t="s">
        <v>255</v>
      </c>
      <c r="B20" t="str">
        <f>[1]!f_info_etfornot(A20)</f>
        <v>是</v>
      </c>
      <c r="C20" t="str">
        <f>[1]!s_info_exchmarket(A20)</f>
        <v>深圳</v>
      </c>
      <c r="D20" t="str">
        <f>[1]!f_info_trackindexcode(A20)</f>
        <v>000300.SH</v>
      </c>
      <c r="E20" t="str">
        <f>[1]!f_info_trackindexname(A20)</f>
        <v>沪深300</v>
      </c>
    </row>
    <row r="21" spans="1:5" x14ac:dyDescent="0.35">
      <c r="A21" t="s">
        <v>269</v>
      </c>
      <c r="B21" t="str">
        <f>[1]!f_info_etfornot(A21)</f>
        <v>是</v>
      </c>
      <c r="C21" t="str">
        <f>[1]!s_info_exchmarket(A21)</f>
        <v>上海</v>
      </c>
      <c r="D21" t="str">
        <f>[1]!f_info_trackindexcode(A21)</f>
        <v>000300.SH</v>
      </c>
      <c r="E21" t="str">
        <f>[1]!f_info_trackindexname(A21)</f>
        <v>沪深300</v>
      </c>
    </row>
    <row r="22" spans="1:5" x14ac:dyDescent="0.35">
      <c r="A22" t="s">
        <v>227</v>
      </c>
      <c r="B22" t="str">
        <f>[1]!f_info_etfornot(A22)</f>
        <v>是</v>
      </c>
      <c r="C22" t="str">
        <f>[1]!s_info_exchmarket(A22)</f>
        <v>上海</v>
      </c>
      <c r="D22" t="str">
        <f>[1]!f_info_trackindexcode(A22)</f>
        <v>000300.SH</v>
      </c>
      <c r="E22" t="str">
        <f>[1]!f_info_trackindexname(A22)</f>
        <v>沪深300</v>
      </c>
    </row>
    <row r="23" spans="1:5" x14ac:dyDescent="0.35">
      <c r="A23" t="s">
        <v>222</v>
      </c>
      <c r="B23" t="str">
        <f>[1]!f_info_etfornot(A23)</f>
        <v>是</v>
      </c>
      <c r="C23" t="str">
        <f>[1]!s_info_exchmarket(A23)</f>
        <v>深圳</v>
      </c>
      <c r="D23" t="str">
        <f>[1]!f_info_trackindexcode(A23)</f>
        <v>000300.SH</v>
      </c>
      <c r="E23" t="str">
        <f>[1]!f_info_trackindexname(A23)</f>
        <v>沪深300</v>
      </c>
    </row>
    <row r="24" spans="1:5" x14ac:dyDescent="0.35">
      <c r="A24" t="s">
        <v>283</v>
      </c>
      <c r="B24" t="str">
        <f>[1]!f_info_etfornot(A24)</f>
        <v>是</v>
      </c>
      <c r="C24" t="str">
        <f>[1]!s_info_exchmarket(A24)</f>
        <v>香港联交所</v>
      </c>
      <c r="D24" t="str">
        <f>[1]!f_info_trackindexcode(A24)</f>
        <v>000300.SH</v>
      </c>
      <c r="E24" t="str">
        <f>[1]!f_info_trackindexname(A24)</f>
        <v>沪深300</v>
      </c>
    </row>
    <row r="25" spans="1:5" x14ac:dyDescent="0.35">
      <c r="A25" t="s">
        <v>284</v>
      </c>
      <c r="B25" t="str">
        <f>[1]!f_info_etfornot(A25)</f>
        <v>是</v>
      </c>
      <c r="C25" t="str">
        <f>[1]!s_info_exchmarket(A25)</f>
        <v>香港联交所</v>
      </c>
      <c r="D25" t="str">
        <f>[1]!f_info_trackindexcode(A25)</f>
        <v>000300.SH</v>
      </c>
      <c r="E25" t="str">
        <f>[1]!f_info_trackindexname(A25)</f>
        <v>沪深300</v>
      </c>
    </row>
    <row r="26" spans="1:5" x14ac:dyDescent="0.35">
      <c r="A26" t="s">
        <v>237</v>
      </c>
      <c r="B26" t="str">
        <f>[1]!f_info_etfornot(A26)</f>
        <v>是</v>
      </c>
      <c r="C26" t="str">
        <f>[1]!s_info_exchmarket(A26)</f>
        <v>上海</v>
      </c>
      <c r="D26" t="str">
        <f>[1]!f_info_trackindexcode(A26)</f>
        <v>000300.SH</v>
      </c>
      <c r="E26" t="str">
        <f>[1]!f_info_trackindexname(A26)</f>
        <v>沪深300</v>
      </c>
    </row>
    <row r="27" spans="1:5" x14ac:dyDescent="0.35">
      <c r="A27" t="s">
        <v>243</v>
      </c>
      <c r="B27" t="str">
        <f>[1]!f_info_etfornot(A27)</f>
        <v>是</v>
      </c>
      <c r="C27" t="str">
        <f>[1]!s_info_exchmarket(A27)</f>
        <v>上海</v>
      </c>
      <c r="D27" t="str">
        <f>[1]!f_info_trackindexcode(A27)</f>
        <v>000300.SH</v>
      </c>
      <c r="E27" t="str">
        <f>[1]!f_info_trackindexname(A27)</f>
        <v>沪深300</v>
      </c>
    </row>
    <row r="28" spans="1:5" x14ac:dyDescent="0.35">
      <c r="A28" t="s">
        <v>273</v>
      </c>
      <c r="B28" t="str">
        <f>[1]!f_info_etfornot(A28)</f>
        <v>是</v>
      </c>
      <c r="C28" t="str">
        <f>[1]!s_info_exchmarket(A28)</f>
        <v>深圳</v>
      </c>
      <c r="D28" t="str">
        <f>[1]!f_info_trackindexcode(A28)</f>
        <v>000300.SH</v>
      </c>
      <c r="E28" t="str">
        <f>[1]!f_info_trackindexname(A28)</f>
        <v>沪深300</v>
      </c>
    </row>
    <row r="29" spans="1:5" x14ac:dyDescent="0.35">
      <c r="A29" t="s">
        <v>285</v>
      </c>
      <c r="B29" t="str">
        <f>[1]!f_info_etfornot(A29)</f>
        <v>是</v>
      </c>
      <c r="C29" t="str">
        <f>[1]!s_info_exchmarket(A29)</f>
        <v>香港联交所</v>
      </c>
      <c r="D29" t="str">
        <f>[1]!f_info_trackindexcode(A29)</f>
        <v>000300.SH</v>
      </c>
      <c r="E29" t="str">
        <f>[1]!f_info_trackindexname(A29)</f>
        <v>沪深300</v>
      </c>
    </row>
    <row r="30" spans="1:5" x14ac:dyDescent="0.35">
      <c r="A30" t="s">
        <v>7</v>
      </c>
      <c r="B30" t="str">
        <f>[1]!f_info_etfornot(A30)</f>
        <v>是</v>
      </c>
      <c r="C30" t="str">
        <f>[1]!s_info_exchmarket(A30)</f>
        <v>上海</v>
      </c>
      <c r="D30" t="str">
        <f>[1]!f_info_trackindexcode(A30)</f>
        <v>000300.SH</v>
      </c>
      <c r="E30" t="str">
        <f>[1]!f_info_trackindexname(A30)</f>
        <v>沪深300</v>
      </c>
    </row>
    <row r="31" spans="1:5" x14ac:dyDescent="0.35">
      <c r="A31" t="s">
        <v>225</v>
      </c>
      <c r="B31" t="str">
        <f>[1]!f_info_etfornot(A31)</f>
        <v>是</v>
      </c>
      <c r="C31" t="str">
        <f>[1]!s_info_exchmarket(A31)</f>
        <v>上海</v>
      </c>
      <c r="D31" t="str">
        <f>[1]!f_info_trackindexcode(A31)</f>
        <v>000300.SH</v>
      </c>
      <c r="E31" t="str">
        <f>[1]!f_info_trackindexname(A31)</f>
        <v>沪深300</v>
      </c>
    </row>
    <row r="32" spans="1:5" x14ac:dyDescent="0.35">
      <c r="A32" t="s">
        <v>267</v>
      </c>
      <c r="B32" t="str">
        <f>[1]!f_info_etfornot(A32)</f>
        <v>是</v>
      </c>
      <c r="C32" t="str">
        <f>[1]!s_info_exchmarket(A32)</f>
        <v>上海</v>
      </c>
      <c r="D32" t="str">
        <f>[1]!f_info_trackindexcode(A32)</f>
        <v>000300.SH</v>
      </c>
      <c r="E32" t="str">
        <f>[1]!f_info_trackindexname(A32)</f>
        <v>沪深300</v>
      </c>
    </row>
    <row r="33" spans="1:5" x14ac:dyDescent="0.35">
      <c r="A33" t="s">
        <v>265</v>
      </c>
      <c r="B33" t="str">
        <f>[1]!f_info_etfornot(A33)</f>
        <v>是</v>
      </c>
      <c r="C33" t="str">
        <f>[1]!s_info_exchmarket(A33)</f>
        <v>上海</v>
      </c>
      <c r="D33" t="str">
        <f>[1]!f_info_trackindexcode(A33)</f>
        <v>000300.SH</v>
      </c>
      <c r="E33" t="str">
        <f>[1]!f_info_trackindexname(A33)</f>
        <v>沪深300</v>
      </c>
    </row>
    <row r="34" spans="1:5" x14ac:dyDescent="0.35">
      <c r="A34" t="s">
        <v>286</v>
      </c>
      <c r="B34" t="str">
        <f>[1]!f_info_etfornot(A34)</f>
        <v>是</v>
      </c>
      <c r="C34" t="str">
        <f>[1]!s_info_exchmarket(A34)</f>
        <v>香港联交所</v>
      </c>
      <c r="D34" t="str">
        <f>[1]!f_info_trackindexcode(A34)</f>
        <v>000300.SH</v>
      </c>
      <c r="E34" t="str">
        <f>[1]!f_info_trackindexname(A34)</f>
        <v>沪深300</v>
      </c>
    </row>
    <row r="35" spans="1:5" x14ac:dyDescent="0.35">
      <c r="A35" t="s">
        <v>271</v>
      </c>
      <c r="B35" t="str">
        <f>[1]!f_info_etfornot(A35)</f>
        <v>是</v>
      </c>
      <c r="C35" t="str">
        <f>[1]!s_info_exchmarket(A35)</f>
        <v>上海</v>
      </c>
      <c r="D35" t="str">
        <f>[1]!f_info_trackindexcode(A35)</f>
        <v>000300.SH</v>
      </c>
      <c r="E35" t="str">
        <f>[1]!f_info_trackindexname(A35)</f>
        <v>沪深300</v>
      </c>
    </row>
    <row r="36" spans="1:5" x14ac:dyDescent="0.35">
      <c r="A36" t="s">
        <v>239</v>
      </c>
      <c r="B36" t="str">
        <f>[1]!f_info_etfornot(A36)</f>
        <v>是</v>
      </c>
      <c r="C36" t="str">
        <f>[1]!s_info_exchmarket(A36)</f>
        <v>深圳</v>
      </c>
      <c r="D36" t="str">
        <f>[1]!f_info_trackindexcode(A36)</f>
        <v>000300.SH</v>
      </c>
      <c r="E36" t="str">
        <f>[1]!f_info_trackindexname(A36)</f>
        <v>沪深300</v>
      </c>
    </row>
    <row r="37" spans="1:5" x14ac:dyDescent="0.35">
      <c r="A37" t="s">
        <v>233</v>
      </c>
      <c r="B37" t="str">
        <f>[1]!f_info_etfornot(A37)</f>
        <v>是</v>
      </c>
      <c r="C37" t="str">
        <f>[1]!s_info_exchmarket(A37)</f>
        <v>深圳</v>
      </c>
      <c r="D37" t="str">
        <f>[1]!f_info_trackindexcode(A37)</f>
        <v>000300.SH</v>
      </c>
      <c r="E37" t="str">
        <f>[1]!f_info_trackindexname(A37)</f>
        <v>沪深300</v>
      </c>
    </row>
    <row r="38" spans="1:5" x14ac:dyDescent="0.35">
      <c r="A38" t="s">
        <v>220</v>
      </c>
      <c r="B38" t="str">
        <f>[1]!f_info_etfornot(A38)</f>
        <v>是</v>
      </c>
      <c r="C38" t="str">
        <f>[1]!s_info_exchmarket(A38)</f>
        <v>上海</v>
      </c>
      <c r="D38" t="str">
        <f>[1]!f_info_trackindexcode(A38)</f>
        <v>000300.SH</v>
      </c>
      <c r="E38" t="str">
        <f>[1]!f_info_trackindexname(A38)</f>
        <v>沪深300</v>
      </c>
    </row>
    <row r="39" spans="1:5" x14ac:dyDescent="0.35">
      <c r="A39" t="s">
        <v>223</v>
      </c>
      <c r="B39" t="str">
        <f>[1]!f_info_etfornot(A39)</f>
        <v>是</v>
      </c>
      <c r="C39" t="str">
        <f>[1]!s_info_exchmarket(A39)</f>
        <v>上海</v>
      </c>
      <c r="D39" t="str">
        <f>[1]!f_info_trackindexcode(A39)</f>
        <v>000300.SH</v>
      </c>
      <c r="E39" t="str">
        <f>[1]!f_info_trackindexname(A39)</f>
        <v>沪深300</v>
      </c>
    </row>
    <row r="40" spans="1:5" x14ac:dyDescent="0.35">
      <c r="A40" t="s">
        <v>287</v>
      </c>
      <c r="B40" t="str">
        <f>[1]!f_info_etfornot(A40)</f>
        <v>是</v>
      </c>
      <c r="C40" t="str">
        <f>[1]!s_info_exchmarket(A40)</f>
        <v>香港联交所</v>
      </c>
      <c r="D40" t="str">
        <f>[1]!f_info_trackindexcode(A40)</f>
        <v>000300.SH</v>
      </c>
      <c r="E40" t="str">
        <f>[1]!f_info_trackindexname(A40)</f>
        <v>沪深300</v>
      </c>
    </row>
    <row r="41" spans="1:5" x14ac:dyDescent="0.35">
      <c r="A41" t="s">
        <v>294</v>
      </c>
      <c r="B41" t="str">
        <f>[1]!f_info_etfornot(A41)</f>
        <v>是</v>
      </c>
      <c r="C41" t="str">
        <f>[1]!s_info_exchmarket(A41)</f>
        <v>深圳</v>
      </c>
      <c r="D41" t="str">
        <f>[1]!f_info_trackindexcode(A41)</f>
        <v>000510.SH</v>
      </c>
      <c r="E41" t="str">
        <f>[1]!f_info_trackindexname(A41)</f>
        <v>中证A500</v>
      </c>
    </row>
    <row r="42" spans="1:5" x14ac:dyDescent="0.35">
      <c r="A42" t="s">
        <v>295</v>
      </c>
      <c r="B42" t="str">
        <f>[1]!f_info_etfornot(A42)</f>
        <v>是</v>
      </c>
      <c r="C42" t="str">
        <f>[1]!s_info_exchmarket(A42)</f>
        <v>深圳</v>
      </c>
      <c r="D42" t="str">
        <f>[1]!f_info_trackindexcode(A42)</f>
        <v>000510.SH</v>
      </c>
      <c r="E42" t="str">
        <f>[1]!f_info_trackindexname(A42)</f>
        <v>中证A500</v>
      </c>
    </row>
    <row r="43" spans="1:5" x14ac:dyDescent="0.35">
      <c r="A43" t="s">
        <v>296</v>
      </c>
      <c r="B43" t="str">
        <f>[1]!f_info_etfornot(A43)</f>
        <v>是</v>
      </c>
      <c r="C43" t="str">
        <f>[1]!s_info_exchmarket(A43)</f>
        <v>深圳</v>
      </c>
      <c r="D43" t="str">
        <f>[1]!f_info_trackindexcode(A43)</f>
        <v>000510.SH</v>
      </c>
      <c r="E43" t="str">
        <f>[1]!f_info_trackindexname(A43)</f>
        <v>中证A500</v>
      </c>
    </row>
    <row r="44" spans="1:5" x14ac:dyDescent="0.35">
      <c r="A44" t="s">
        <v>297</v>
      </c>
      <c r="B44" t="str">
        <f>[1]!f_info_etfornot(A44)</f>
        <v>是</v>
      </c>
      <c r="C44" t="str">
        <f>[1]!s_info_exchmarket(A44)</f>
        <v>深圳</v>
      </c>
      <c r="D44" t="str">
        <f>[1]!f_info_trackindexcode(A44)</f>
        <v>000510.SH</v>
      </c>
      <c r="E44" t="str">
        <f>[1]!f_info_trackindexname(A44)</f>
        <v>中证A500</v>
      </c>
    </row>
    <row r="45" spans="1:5" x14ac:dyDescent="0.35">
      <c r="A45" t="s">
        <v>298</v>
      </c>
      <c r="B45" t="str">
        <f>[1]!f_info_etfornot(A45)</f>
        <v>是</v>
      </c>
      <c r="C45" t="str">
        <f>[1]!s_info_exchmarket(A45)</f>
        <v>上海</v>
      </c>
      <c r="D45" t="str">
        <f>[1]!f_info_trackindexcode(A45)</f>
        <v>000510.SH</v>
      </c>
      <c r="E45" t="str">
        <f>[1]!f_info_trackindexname(A45)</f>
        <v>中证A500</v>
      </c>
    </row>
    <row r="46" spans="1:5" x14ac:dyDescent="0.35">
      <c r="A46" t="s">
        <v>299</v>
      </c>
      <c r="B46" t="str">
        <f>[1]!f_info_etfornot(A46)</f>
        <v>是</v>
      </c>
      <c r="C46" t="str">
        <f>[1]!s_info_exchmarket(A46)</f>
        <v>深圳</v>
      </c>
      <c r="D46" t="str">
        <f>[1]!f_info_trackindexcode(A46)</f>
        <v>000510.SH</v>
      </c>
      <c r="E46" t="str">
        <f>[1]!f_info_trackindexname(A46)</f>
        <v>中证A500</v>
      </c>
    </row>
    <row r="47" spans="1:5" x14ac:dyDescent="0.35">
      <c r="A47" t="s">
        <v>300</v>
      </c>
      <c r="B47" t="str">
        <f>[1]!f_info_etfornot(A47)</f>
        <v>是</v>
      </c>
      <c r="C47" t="str">
        <f>[1]!s_info_exchmarket(A47)</f>
        <v>上海</v>
      </c>
      <c r="D47" t="str">
        <f>[1]!f_info_trackindexcode(A47)</f>
        <v>000510.SH</v>
      </c>
      <c r="E47" t="str">
        <f>[1]!f_info_trackindexname(A47)</f>
        <v>中证A500</v>
      </c>
    </row>
    <row r="48" spans="1:5" x14ac:dyDescent="0.35">
      <c r="A48" t="s">
        <v>301</v>
      </c>
      <c r="B48" t="str">
        <f>[1]!f_info_etfornot(A48)</f>
        <v>是</v>
      </c>
      <c r="C48" t="str">
        <f>[1]!s_info_exchmarket(A48)</f>
        <v>深圳</v>
      </c>
      <c r="D48" t="str">
        <f>[1]!f_info_trackindexcode(A48)</f>
        <v>000510.SH</v>
      </c>
      <c r="E48" t="str">
        <f>[1]!f_info_trackindexname(A48)</f>
        <v>中证A500</v>
      </c>
    </row>
    <row r="49" spans="1:5" x14ac:dyDescent="0.35">
      <c r="A49" t="s">
        <v>302</v>
      </c>
      <c r="B49" t="str">
        <f>[1]!f_info_etfornot(A49)</f>
        <v>是</v>
      </c>
      <c r="C49" t="str">
        <f>[1]!s_info_exchmarket(A49)</f>
        <v>上海</v>
      </c>
      <c r="D49" t="str">
        <f>[1]!f_info_trackindexcode(A49)</f>
        <v>000510.SH</v>
      </c>
      <c r="E49" t="str">
        <f>[1]!f_info_trackindexname(A49)</f>
        <v>中证A500</v>
      </c>
    </row>
    <row r="50" spans="1:5" x14ac:dyDescent="0.35">
      <c r="A50" t="s">
        <v>303</v>
      </c>
      <c r="B50" t="str">
        <f>[1]!f_info_etfornot(A50)</f>
        <v>是</v>
      </c>
      <c r="C50" t="str">
        <f>[1]!s_info_exchmarket(A50)</f>
        <v>上海</v>
      </c>
      <c r="D50" t="str">
        <f>[1]!f_info_trackindexcode(A50)</f>
        <v>000510.SH</v>
      </c>
      <c r="E50" t="str">
        <f>[1]!f_info_trackindexname(A50)</f>
        <v>中证A500</v>
      </c>
    </row>
    <row r="51" spans="1:5" x14ac:dyDescent="0.35">
      <c r="A51" t="s">
        <v>304</v>
      </c>
      <c r="B51" t="str">
        <f>[1]!f_info_etfornot(A51)</f>
        <v>是</v>
      </c>
      <c r="C51" t="str">
        <f>[1]!s_info_exchmarket(A51)</f>
        <v>上海</v>
      </c>
      <c r="D51" t="str">
        <f>[1]!f_info_trackindexcode(A51)</f>
        <v>000510.SH</v>
      </c>
      <c r="E51" t="str">
        <f>[1]!f_info_trackindexname(A51)</f>
        <v>中证A500</v>
      </c>
    </row>
    <row r="52" spans="1:5" x14ac:dyDescent="0.35">
      <c r="A52" t="s">
        <v>13</v>
      </c>
      <c r="B52" t="str">
        <f>[1]!f_info_etfornot(A52)</f>
        <v>是</v>
      </c>
      <c r="C52" t="str">
        <f>[1]!s_info_exchmarket(A52)</f>
        <v>上海</v>
      </c>
      <c r="D52" t="str">
        <f>[1]!f_info_trackindexcode(A52)</f>
        <v>000510.SH</v>
      </c>
      <c r="E52" t="str">
        <f>[1]!f_info_trackindexname(A52)</f>
        <v>中证A500</v>
      </c>
    </row>
    <row r="53" spans="1:5" x14ac:dyDescent="0.35">
      <c r="A53" t="s">
        <v>305</v>
      </c>
      <c r="B53" t="str">
        <f>[1]!f_info_etfornot(A53)</f>
        <v>是</v>
      </c>
      <c r="C53" t="str">
        <f>[1]!s_info_exchmarket(A53)</f>
        <v>深圳</v>
      </c>
      <c r="D53" t="str">
        <f>[1]!f_info_trackindexcode(A53)</f>
        <v>000510.SH</v>
      </c>
      <c r="E53" t="str">
        <f>[1]!f_info_trackindexname(A53)</f>
        <v>中证A500</v>
      </c>
    </row>
    <row r="54" spans="1:5" x14ac:dyDescent="0.35">
      <c r="A54" t="s">
        <v>306</v>
      </c>
      <c r="B54" t="str">
        <f>[1]!f_info_etfornot(A54)</f>
        <v>是</v>
      </c>
      <c r="C54" t="str">
        <f>[1]!s_info_exchmarket(A54)</f>
        <v>上海</v>
      </c>
      <c r="D54" t="str">
        <f>[1]!f_info_trackindexcode(A54)</f>
        <v>000510.SH</v>
      </c>
      <c r="E54" t="str">
        <f>[1]!f_info_trackindexname(A54)</f>
        <v>中证A500</v>
      </c>
    </row>
    <row r="55" spans="1:5" x14ac:dyDescent="0.35">
      <c r="A55" t="s">
        <v>307</v>
      </c>
      <c r="B55" t="str">
        <f>[1]!f_info_etfornot(A55)</f>
        <v>是</v>
      </c>
      <c r="C55" t="str">
        <f>[1]!s_info_exchmarket(A55)</f>
        <v>深圳</v>
      </c>
      <c r="D55" t="str">
        <f>[1]!f_info_trackindexcode(A55)</f>
        <v>000510.SH</v>
      </c>
      <c r="E55" t="str">
        <f>[1]!f_info_trackindexname(A55)</f>
        <v>中证A500</v>
      </c>
    </row>
    <row r="56" spans="1:5" x14ac:dyDescent="0.35">
      <c r="A56" t="s">
        <v>308</v>
      </c>
      <c r="B56" t="str">
        <f>[1]!f_info_etfornot(A56)</f>
        <v>是</v>
      </c>
      <c r="C56" t="str">
        <f>[1]!s_info_exchmarket(A56)</f>
        <v>深圳</v>
      </c>
      <c r="D56" t="str">
        <f>[1]!f_info_trackindexcode(A56)</f>
        <v>000510.SH</v>
      </c>
      <c r="E56" t="str">
        <f>[1]!f_info_trackindexname(A56)</f>
        <v>中证A500</v>
      </c>
    </row>
    <row r="57" spans="1:5" x14ac:dyDescent="0.35">
      <c r="A57" t="s">
        <v>309</v>
      </c>
      <c r="B57" t="str">
        <f>[1]!f_info_etfornot(A57)</f>
        <v>是</v>
      </c>
      <c r="C57" t="str">
        <f>[1]!s_info_exchmarket(A57)</f>
        <v>深圳</v>
      </c>
      <c r="D57" t="str">
        <f>[1]!f_info_trackindexcode(A57)</f>
        <v>000510.SH</v>
      </c>
      <c r="E57" t="str">
        <f>[1]!f_info_trackindexname(A57)</f>
        <v>中证A500</v>
      </c>
    </row>
    <row r="58" spans="1:5" x14ac:dyDescent="0.35">
      <c r="A58" t="s">
        <v>310</v>
      </c>
      <c r="B58" t="str">
        <f>[1]!f_info_etfornot(A58)</f>
        <v>是</v>
      </c>
      <c r="C58" t="str">
        <f>[1]!s_info_exchmarket(A58)</f>
        <v>深圳</v>
      </c>
      <c r="D58" t="str">
        <f>[1]!f_info_trackindexcode(A58)</f>
        <v>000510.SH</v>
      </c>
      <c r="E58" t="str">
        <f>[1]!f_info_trackindexname(A58)</f>
        <v>中证A500</v>
      </c>
    </row>
    <row r="59" spans="1:5" x14ac:dyDescent="0.35">
      <c r="A59" t="s">
        <v>311</v>
      </c>
      <c r="B59" t="str">
        <f>[1]!f_info_etfornot(A59)</f>
        <v>是</v>
      </c>
      <c r="C59" t="str">
        <f>[1]!s_info_exchmarket(A59)</f>
        <v>深圳</v>
      </c>
      <c r="D59" t="str">
        <f>[1]!f_info_trackindexcode(A59)</f>
        <v>000510.SH</v>
      </c>
      <c r="E59" t="str">
        <f>[1]!f_info_trackindexname(A59)</f>
        <v>中证A500</v>
      </c>
    </row>
    <row r="60" spans="1:5" x14ac:dyDescent="0.35">
      <c r="A60" t="s">
        <v>312</v>
      </c>
      <c r="B60" t="str">
        <f>[1]!f_info_etfornot(A60)</f>
        <v>是</v>
      </c>
      <c r="C60" t="str">
        <f>[1]!s_info_exchmarket(A60)</f>
        <v>上海</v>
      </c>
      <c r="D60" t="str">
        <f>[1]!f_info_trackindexcode(A60)</f>
        <v>000510.SH</v>
      </c>
      <c r="E60" t="str">
        <f>[1]!f_info_trackindexname(A60)</f>
        <v>中证A500</v>
      </c>
    </row>
    <row r="61" spans="1:5" x14ac:dyDescent="0.35">
      <c r="A61" t="s">
        <v>313</v>
      </c>
      <c r="B61" t="str">
        <f>[1]!f_info_etfornot(A61)</f>
        <v>是</v>
      </c>
      <c r="C61" t="str">
        <f>[1]!s_info_exchmarket(A61)</f>
        <v>上海</v>
      </c>
      <c r="D61" t="str">
        <f>[1]!f_info_trackindexcode(A61)</f>
        <v>000510.SH</v>
      </c>
      <c r="E61" t="str">
        <f>[1]!f_info_trackindexname(A61)</f>
        <v>中证A500</v>
      </c>
    </row>
    <row r="62" spans="1:5" x14ac:dyDescent="0.35">
      <c r="A62" t="s">
        <v>314</v>
      </c>
      <c r="B62" t="str">
        <f>[1]!f_info_etfornot(A62)</f>
        <v>是</v>
      </c>
      <c r="C62" t="str">
        <f>[1]!s_info_exchmarket(A62)</f>
        <v>深圳</v>
      </c>
      <c r="D62" t="str">
        <f>[1]!f_info_trackindexcode(A62)</f>
        <v>000510.SH</v>
      </c>
      <c r="E62" t="str">
        <f>[1]!f_info_trackindexname(A62)</f>
        <v>中证A500</v>
      </c>
    </row>
    <row r="63" spans="1:5" x14ac:dyDescent="0.35">
      <c r="A63" t="s">
        <v>315</v>
      </c>
      <c r="B63" t="str">
        <f>[1]!f_info_etfornot(A63)</f>
        <v>是</v>
      </c>
      <c r="C63" t="str">
        <f>[1]!s_info_exchmarket(A63)</f>
        <v>深圳</v>
      </c>
      <c r="D63" t="str">
        <f>[1]!f_info_trackindexcode(A63)</f>
        <v>000510.SH</v>
      </c>
      <c r="E63" t="str">
        <f>[1]!f_info_trackindexname(A63)</f>
        <v>中证A500</v>
      </c>
    </row>
    <row r="64" spans="1:5" x14ac:dyDescent="0.35">
      <c r="A64" t="s">
        <v>316</v>
      </c>
      <c r="B64" t="str">
        <f>[1]!f_info_etfornot(A64)</f>
        <v>是</v>
      </c>
      <c r="C64" t="str">
        <f>[1]!s_info_exchmarket(A64)</f>
        <v>上海</v>
      </c>
      <c r="D64" t="str">
        <f>[1]!f_info_trackindexcode(A64)</f>
        <v>000510.SH</v>
      </c>
      <c r="E64" t="str">
        <f>[1]!f_info_trackindexname(A64)</f>
        <v>中证A500</v>
      </c>
    </row>
    <row r="65" spans="1:5" x14ac:dyDescent="0.35">
      <c r="A65" t="s">
        <v>317</v>
      </c>
      <c r="B65" t="str">
        <f>[1]!f_info_etfornot(A65)</f>
        <v>是</v>
      </c>
      <c r="C65" t="str">
        <f>[1]!s_info_exchmarket(A65)</f>
        <v>上海</v>
      </c>
      <c r="D65" t="str">
        <f>[1]!f_info_trackindexcode(A65)</f>
        <v>000510.SH</v>
      </c>
      <c r="E65" t="str">
        <f>[1]!f_info_trackindexname(A65)</f>
        <v>中证A500</v>
      </c>
    </row>
    <row r="66" spans="1:5" x14ac:dyDescent="0.35">
      <c r="A66" t="s">
        <v>318</v>
      </c>
      <c r="B66" t="str">
        <f>[1]!f_info_etfornot(A66)</f>
        <v>是</v>
      </c>
      <c r="C66" t="str">
        <f>[1]!s_info_exchmarket(A66)</f>
        <v>深圳</v>
      </c>
      <c r="D66" t="str">
        <f>[1]!f_info_trackindexcode(A66)</f>
        <v>000510.SH</v>
      </c>
      <c r="E66" t="str">
        <f>[1]!f_info_trackindexname(A66)</f>
        <v>中证A500</v>
      </c>
    </row>
    <row r="67" spans="1:5" x14ac:dyDescent="0.35">
      <c r="A67" t="s">
        <v>319</v>
      </c>
      <c r="B67" t="str">
        <f>[1]!f_info_etfornot(A67)</f>
        <v>是</v>
      </c>
      <c r="C67" t="str">
        <f>[1]!s_info_exchmarket(A67)</f>
        <v>深圳</v>
      </c>
      <c r="D67" t="str">
        <f>[1]!f_info_trackindexcode(A67)</f>
        <v>000510.SH</v>
      </c>
      <c r="E67" t="str">
        <f>[1]!f_info_trackindexname(A67)</f>
        <v>中证A500</v>
      </c>
    </row>
    <row r="68" spans="1:5" x14ac:dyDescent="0.35">
      <c r="A68" t="s">
        <v>320</v>
      </c>
      <c r="B68" t="str">
        <f>[1]!f_info_etfornot(A68)</f>
        <v>是</v>
      </c>
      <c r="C68" t="str">
        <f>[1]!s_info_exchmarket(A68)</f>
        <v>上海</v>
      </c>
      <c r="D68" t="str">
        <f>[1]!f_info_trackindexcode(A68)</f>
        <v>000510.SH</v>
      </c>
      <c r="E68" t="str">
        <f>[1]!f_info_trackindexname(A68)</f>
        <v>中证A500</v>
      </c>
    </row>
    <row r="69" spans="1:5" x14ac:dyDescent="0.35">
      <c r="A69" t="s">
        <v>321</v>
      </c>
      <c r="B69" t="str">
        <f>[1]!f_info_etfornot(A69)</f>
        <v>是</v>
      </c>
      <c r="C69" t="str">
        <f>[1]!s_info_exchmarket(A69)</f>
        <v>深圳</v>
      </c>
      <c r="D69" t="str">
        <f>[1]!f_info_trackindexcode(A69)</f>
        <v>000510.SH</v>
      </c>
      <c r="E69" t="str">
        <f>[1]!f_info_trackindexname(A69)</f>
        <v>中证A500</v>
      </c>
    </row>
    <row r="70" spans="1:5" x14ac:dyDescent="0.35">
      <c r="A70" t="s">
        <v>322</v>
      </c>
      <c r="B70" t="str">
        <f>[1]!f_info_etfornot(A70)</f>
        <v>是</v>
      </c>
      <c r="C70" t="str">
        <f>[1]!s_info_exchmarket(A70)</f>
        <v>上海</v>
      </c>
      <c r="D70" t="str">
        <f>[1]!f_info_trackindexcode(A70)</f>
        <v>000510.SH</v>
      </c>
      <c r="E70" t="str">
        <f>[1]!f_info_trackindexname(A70)</f>
        <v>中证A500</v>
      </c>
    </row>
    <row r="71" spans="1:5" x14ac:dyDescent="0.35">
      <c r="A71" t="s">
        <v>323</v>
      </c>
      <c r="B71" t="str">
        <f>[1]!f_info_etfornot(A71)</f>
        <v>是</v>
      </c>
      <c r="C71" t="str">
        <f>[1]!s_info_exchmarket(A71)</f>
        <v>上海</v>
      </c>
      <c r="D71" t="str">
        <f>[1]!f_info_trackindexcode(A71)</f>
        <v>000510.SH</v>
      </c>
      <c r="E71" t="str">
        <f>[1]!f_info_trackindexname(A71)</f>
        <v>中证A500</v>
      </c>
    </row>
    <row r="72" spans="1:5" x14ac:dyDescent="0.35">
      <c r="A72" t="s">
        <v>324</v>
      </c>
      <c r="B72" t="str">
        <f>[1]!f_info_etfornot(A72)</f>
        <v>是</v>
      </c>
      <c r="C72" t="str">
        <f>[1]!s_info_exchmarket(A72)</f>
        <v>深圳</v>
      </c>
      <c r="D72" t="str">
        <f>[1]!f_info_trackindexcode(A72)</f>
        <v>000510.SH</v>
      </c>
      <c r="E72" t="str">
        <f>[1]!f_info_trackindexname(A72)</f>
        <v>中证A500</v>
      </c>
    </row>
    <row r="73" spans="1:5" x14ac:dyDescent="0.35">
      <c r="A73" t="s">
        <v>325</v>
      </c>
      <c r="B73" t="str">
        <f>[1]!f_info_etfornot(A73)</f>
        <v>是</v>
      </c>
      <c r="C73" t="str">
        <f>[1]!s_info_exchmarket(A73)</f>
        <v>上海</v>
      </c>
      <c r="D73" t="str">
        <f>[1]!f_info_trackindexcode(A73)</f>
        <v>000510.SH</v>
      </c>
      <c r="E73" t="str">
        <f>[1]!f_info_trackindexname(A73)</f>
        <v>中证A500</v>
      </c>
    </row>
    <row r="74" spans="1:5" x14ac:dyDescent="0.35">
      <c r="A74" t="s">
        <v>326</v>
      </c>
      <c r="B74" t="str">
        <f>[1]!f_info_etfornot(A74)</f>
        <v>是</v>
      </c>
      <c r="C74" t="str">
        <f>[1]!s_info_exchmarket(A74)</f>
        <v>上海</v>
      </c>
      <c r="D74" t="str">
        <f>[1]!f_info_trackindexcode(A74)</f>
        <v>000510.SH</v>
      </c>
      <c r="E74" t="str">
        <f>[1]!f_info_trackindexname(A74)</f>
        <v>中证A500</v>
      </c>
    </row>
    <row r="75" spans="1:5" x14ac:dyDescent="0.35">
      <c r="A75" t="s">
        <v>327</v>
      </c>
      <c r="B75" t="str">
        <f>[1]!f_info_etfornot(A75)</f>
        <v>是</v>
      </c>
      <c r="C75" t="str">
        <f>[1]!s_info_exchmarket(A75)</f>
        <v>上海</v>
      </c>
      <c r="D75" t="str">
        <f>[1]!f_info_trackindexcode(A75)</f>
        <v>000510.SH</v>
      </c>
      <c r="E75" t="str">
        <f>[1]!f_info_trackindexname(A75)</f>
        <v>中证A500</v>
      </c>
    </row>
    <row r="76" spans="1:5" x14ac:dyDescent="0.35">
      <c r="A76" t="s">
        <v>328</v>
      </c>
      <c r="B76" t="str">
        <f>[1]!f_info_etfornot(A76)</f>
        <v>是</v>
      </c>
      <c r="C76" t="str">
        <f>[1]!s_info_exchmarket(A76)</f>
        <v>上海</v>
      </c>
      <c r="D76" t="str">
        <f>[1]!f_info_trackindexcode(A76)</f>
        <v>000510.SH</v>
      </c>
      <c r="E76" t="str">
        <f>[1]!f_info_trackindexname(A76)</f>
        <v>中证A500</v>
      </c>
    </row>
    <row r="77" spans="1:5" x14ac:dyDescent="0.35">
      <c r="A77" t="s">
        <v>329</v>
      </c>
      <c r="B77" t="str">
        <f>[1]!f_info_etfornot(A77)</f>
        <v>是</v>
      </c>
      <c r="C77" t="str">
        <f>[1]!s_info_exchmarket(A77)</f>
        <v>上海</v>
      </c>
      <c r="D77" t="str">
        <f>[1]!f_info_trackindexcode(A77)</f>
        <v>000510.SH</v>
      </c>
      <c r="E77" t="str">
        <f>[1]!f_info_trackindexname(A77)</f>
        <v>中证A500</v>
      </c>
    </row>
    <row r="78" spans="1:5" x14ac:dyDescent="0.35">
      <c r="A78" t="s">
        <v>330</v>
      </c>
      <c r="B78" t="str">
        <f>[1]!f_info_etfornot(A78)</f>
        <v>是</v>
      </c>
      <c r="C78" t="str">
        <f>[1]!s_info_exchmarket(A78)</f>
        <v>深圳</v>
      </c>
      <c r="D78" t="str">
        <f>[1]!f_info_trackindexcode(A78)</f>
        <v>000510.SH</v>
      </c>
      <c r="E78" t="str">
        <f>[1]!f_info_trackindexname(A78)</f>
        <v>中证A500</v>
      </c>
    </row>
    <row r="79" spans="1:5" x14ac:dyDescent="0.35">
      <c r="A79" t="s">
        <v>331</v>
      </c>
      <c r="B79" t="str">
        <f>[1]!f_info_etfornot(A79)</f>
        <v>是</v>
      </c>
      <c r="C79" t="str">
        <f>[1]!s_info_exchmarket(A79)</f>
        <v>上海</v>
      </c>
      <c r="D79" t="str">
        <f>[1]!f_info_trackindexcode(A79)</f>
        <v>000510.SH</v>
      </c>
      <c r="E79" t="str">
        <f>[1]!f_info_trackindexname(A79)</f>
        <v>中证A500</v>
      </c>
    </row>
    <row r="80" spans="1:5" x14ac:dyDescent="0.35">
      <c r="A80" t="s">
        <v>332</v>
      </c>
      <c r="B80" t="str">
        <f>[1]!f_info_etfornot(A80)</f>
        <v>是</v>
      </c>
      <c r="C80" t="str">
        <f>[1]!s_info_exchmarket(A80)</f>
        <v>深圳</v>
      </c>
      <c r="D80" t="str">
        <f>[1]!f_info_trackindexcode(A80)</f>
        <v>000510.SH</v>
      </c>
      <c r="E80" t="str">
        <f>[1]!f_info_trackindexname(A80)</f>
        <v>中证A500</v>
      </c>
    </row>
    <row r="81" spans="1:5" x14ac:dyDescent="0.35">
      <c r="A81" t="s">
        <v>333</v>
      </c>
      <c r="B81" t="str">
        <f>[1]!f_info_etfornot(A81)</f>
        <v>是</v>
      </c>
      <c r="C81" t="str">
        <f>[1]!s_info_exchmarket(A81)</f>
        <v>上海</v>
      </c>
      <c r="D81" t="str">
        <f>[1]!f_info_trackindexcode(A81)</f>
        <v>000016.SH</v>
      </c>
      <c r="E81" t="str">
        <f>[1]!f_info_trackindexname(A81)</f>
        <v>上证50</v>
      </c>
    </row>
    <row r="82" spans="1:5" x14ac:dyDescent="0.35">
      <c r="A82" t="s">
        <v>18</v>
      </c>
      <c r="B82" t="str">
        <f>[1]!f_info_etfornot(A82)</f>
        <v>是</v>
      </c>
      <c r="C82" t="str">
        <f>[1]!s_info_exchmarket(A82)</f>
        <v>上海</v>
      </c>
      <c r="D82" t="str">
        <f>[1]!f_info_trackindexcode(A82)</f>
        <v>000016.SH</v>
      </c>
      <c r="E82" t="str">
        <f>[1]!f_info_trackindexname(A82)</f>
        <v>上证50</v>
      </c>
    </row>
    <row r="83" spans="1:5" x14ac:dyDescent="0.35">
      <c r="A83" t="s">
        <v>334</v>
      </c>
      <c r="B83" t="str">
        <f>[1]!f_info_etfornot(A83)</f>
        <v>是</v>
      </c>
      <c r="C83" t="str">
        <f>[1]!s_info_exchmarket(A83)</f>
        <v>上海</v>
      </c>
      <c r="D83" t="str">
        <f>[1]!f_info_trackindexcode(A83)</f>
        <v>000016.SH</v>
      </c>
      <c r="E83" t="str">
        <f>[1]!f_info_trackindexname(A83)</f>
        <v>上证50</v>
      </c>
    </row>
    <row r="84" spans="1:5" x14ac:dyDescent="0.35">
      <c r="A84" t="s">
        <v>335</v>
      </c>
      <c r="B84" t="str">
        <f>[1]!f_info_etfornot(A84)</f>
        <v>是</v>
      </c>
      <c r="C84" t="str">
        <f>[1]!s_info_exchmarket(A84)</f>
        <v>上海</v>
      </c>
      <c r="D84" t="str">
        <f>[1]!f_info_trackindexcode(A84)</f>
        <v>000016.SH</v>
      </c>
      <c r="E84" t="str">
        <f>[1]!f_info_trackindexname(A84)</f>
        <v>上证50</v>
      </c>
    </row>
    <row r="85" spans="1:5" x14ac:dyDescent="0.35">
      <c r="A85" t="s">
        <v>336</v>
      </c>
      <c r="B85" t="str">
        <f>[1]!f_info_etfornot(A85)</f>
        <v>是</v>
      </c>
      <c r="C85" t="str">
        <f>[1]!s_info_exchmarket(A85)</f>
        <v>上海</v>
      </c>
      <c r="D85" t="str">
        <f>[1]!f_info_trackindexcode(A85)</f>
        <v>000016.SH</v>
      </c>
      <c r="E85" t="str">
        <f>[1]!f_info_trackindexname(A85)</f>
        <v>上证50</v>
      </c>
    </row>
    <row r="86" spans="1:5" x14ac:dyDescent="0.35">
      <c r="A86" t="s">
        <v>337</v>
      </c>
      <c r="B86" t="str">
        <f>[1]!f_info_etfornot(A86)</f>
        <v>是</v>
      </c>
      <c r="C86" t="str">
        <f>[1]!s_info_exchmarket(A86)</f>
        <v>上海</v>
      </c>
      <c r="D86" t="str">
        <f>[1]!f_info_trackindexcode(A86)</f>
        <v>000016.SH</v>
      </c>
      <c r="E86" t="str">
        <f>[1]!f_info_trackindexname(A86)</f>
        <v>上证50</v>
      </c>
    </row>
    <row r="87" spans="1:5" x14ac:dyDescent="0.35">
      <c r="A87" t="s">
        <v>338</v>
      </c>
      <c r="B87" t="str">
        <f>[1]!f_info_etfornot(A87)</f>
        <v>是</v>
      </c>
      <c r="C87" t="str">
        <f>[1]!s_info_exchmarket(A87)</f>
        <v>上海</v>
      </c>
      <c r="D87" t="str">
        <f>[1]!f_info_trackindexcode(A87)</f>
        <v>000016.SH</v>
      </c>
      <c r="E87" t="str">
        <f>[1]!f_info_trackindexname(A87)</f>
        <v>上证50</v>
      </c>
    </row>
    <row r="88" spans="1:5" x14ac:dyDescent="0.35">
      <c r="A88" t="s">
        <v>339</v>
      </c>
      <c r="B88" t="str">
        <f>[1]!f_info_etfornot(A88)</f>
        <v>是</v>
      </c>
      <c r="C88" t="str">
        <f>[1]!s_info_exchmarket(A88)</f>
        <v>上海</v>
      </c>
      <c r="D88" t="str">
        <f>[1]!f_info_trackindexcode(A88)</f>
        <v>000016.SH</v>
      </c>
      <c r="E88" t="str">
        <f>[1]!f_info_trackindexname(A88)</f>
        <v>上证50</v>
      </c>
    </row>
    <row r="89" spans="1:5" x14ac:dyDescent="0.35">
      <c r="A89" t="s">
        <v>340</v>
      </c>
      <c r="B89" t="str">
        <f>[1]!f_info_etfornot(A89)</f>
        <v>是</v>
      </c>
      <c r="C89" t="str">
        <f>[1]!s_info_exchmarket(A89)</f>
        <v>上海</v>
      </c>
      <c r="D89" t="str">
        <f>[1]!f_info_trackindexcode(A89)</f>
        <v>000016.SH</v>
      </c>
      <c r="E89" t="str">
        <f>[1]!f_info_trackindexname(A89)</f>
        <v>上证50</v>
      </c>
    </row>
    <row r="90" spans="1:5" x14ac:dyDescent="0.35">
      <c r="A90" t="s">
        <v>341</v>
      </c>
      <c r="B90" t="str">
        <f>[1]!f_info_etfornot(A90)</f>
        <v>是</v>
      </c>
      <c r="C90" t="str">
        <f>[1]!s_info_exchmarket(A90)</f>
        <v>上海</v>
      </c>
      <c r="D90" t="str">
        <f>[1]!f_info_trackindexcode(A90)</f>
        <v>000016.SH</v>
      </c>
      <c r="E90" t="str">
        <f>[1]!f_info_trackindexname(A90)</f>
        <v>上证50</v>
      </c>
    </row>
    <row r="91" spans="1:5" x14ac:dyDescent="0.35">
      <c r="A91" t="s">
        <v>217</v>
      </c>
      <c r="B91" t="str">
        <f>[1]!f_info_etfornot(A91)</f>
        <v>是</v>
      </c>
      <c r="C91" t="str">
        <f>[1]!s_info_exchmarket(A91)</f>
        <v>香港联交所</v>
      </c>
      <c r="D91" t="str">
        <f>[1]!f_info_trackindexcode(A91)</f>
        <v>000016.SH</v>
      </c>
      <c r="E91" t="str">
        <f>[1]!f_info_trackindexname(A91)</f>
        <v>上证50</v>
      </c>
    </row>
    <row r="92" spans="1:5" x14ac:dyDescent="0.35">
      <c r="A92" t="s">
        <v>342</v>
      </c>
      <c r="B92" t="str">
        <f>[1]!f_info_etfornot(A92)</f>
        <v>是</v>
      </c>
      <c r="C92" t="str">
        <f>[1]!s_info_exchmarket(A92)</f>
        <v>上海</v>
      </c>
      <c r="D92" t="str">
        <f>[1]!f_info_trackindexcode(A92)</f>
        <v>000016.SH</v>
      </c>
      <c r="E92" t="str">
        <f>[1]!f_info_trackindexname(A92)</f>
        <v>上证50</v>
      </c>
    </row>
    <row r="93" spans="1:5" x14ac:dyDescent="0.35">
      <c r="A93" t="s">
        <v>343</v>
      </c>
      <c r="B93" t="str">
        <f>[1]!f_info_etfornot(A93)</f>
        <v>是</v>
      </c>
      <c r="C93" t="str">
        <f>[1]!s_info_exchmarket(A93)</f>
        <v>上海</v>
      </c>
      <c r="D93" t="str">
        <f>[1]!f_info_trackindexcode(A93)</f>
        <v>000016.SH</v>
      </c>
      <c r="E93" t="str">
        <f>[1]!f_info_trackindexname(A93)</f>
        <v>上证50</v>
      </c>
    </row>
    <row r="94" spans="1:5" x14ac:dyDescent="0.35">
      <c r="A94" t="s">
        <v>344</v>
      </c>
      <c r="B94" t="str">
        <f>[1]!f_info_etfornot(A94)</f>
        <v>是</v>
      </c>
      <c r="C94" t="str">
        <f>[1]!s_info_exchmarket(A94)</f>
        <v>深圳</v>
      </c>
      <c r="D94" t="str">
        <f>[1]!f_info_trackindexcode(A94)</f>
        <v>000905.SH</v>
      </c>
      <c r="E94" t="str">
        <f>[1]!f_info_trackindexname(A94)</f>
        <v>中证500</v>
      </c>
    </row>
    <row r="95" spans="1:5" x14ac:dyDescent="0.35">
      <c r="A95" t="s">
        <v>345</v>
      </c>
      <c r="B95" t="str">
        <f>[1]!f_info_etfornot(A95)</f>
        <v>是</v>
      </c>
      <c r="C95" t="str">
        <f>[1]!s_info_exchmarket(A95)</f>
        <v>上海</v>
      </c>
      <c r="D95" t="str">
        <f>[1]!f_info_trackindexcode(A95)</f>
        <v>000905.SH</v>
      </c>
      <c r="E95" t="str">
        <f>[1]!f_info_trackindexname(A95)</f>
        <v>中证500</v>
      </c>
    </row>
    <row r="96" spans="1:5" x14ac:dyDescent="0.35">
      <c r="A96" t="s">
        <v>346</v>
      </c>
      <c r="B96" t="str">
        <f>[1]!f_info_etfornot(A96)</f>
        <v>是</v>
      </c>
      <c r="C96" t="str">
        <f>[1]!s_info_exchmarket(A96)</f>
        <v>深圳</v>
      </c>
      <c r="D96" t="str">
        <f>[1]!f_info_trackindexcode(A96)</f>
        <v>000905.SH</v>
      </c>
      <c r="E96" t="str">
        <f>[1]!f_info_trackindexname(A96)</f>
        <v>中证500</v>
      </c>
    </row>
    <row r="97" spans="1:5" x14ac:dyDescent="0.35">
      <c r="A97" t="s">
        <v>347</v>
      </c>
      <c r="B97" t="str">
        <f>[1]!f_info_etfornot(A97)</f>
        <v>是</v>
      </c>
      <c r="C97" t="str">
        <f>[1]!s_info_exchmarket(A97)</f>
        <v>上海</v>
      </c>
      <c r="D97" t="str">
        <f>[1]!f_info_trackindexcode(A97)</f>
        <v>000905.SH</v>
      </c>
      <c r="E97" t="str">
        <f>[1]!f_info_trackindexname(A97)</f>
        <v>中证500</v>
      </c>
    </row>
    <row r="98" spans="1:5" x14ac:dyDescent="0.35">
      <c r="A98" t="s">
        <v>348</v>
      </c>
      <c r="B98" t="str">
        <f>[1]!f_info_etfornot(A98)</f>
        <v>是</v>
      </c>
      <c r="C98" t="str">
        <f>[1]!s_info_exchmarket(A98)</f>
        <v>上海</v>
      </c>
      <c r="D98" t="str">
        <f>[1]!f_info_trackindexcode(A98)</f>
        <v>000905.SH</v>
      </c>
      <c r="E98" t="str">
        <f>[1]!f_info_trackindexname(A98)</f>
        <v>中证500</v>
      </c>
    </row>
    <row r="99" spans="1:5" x14ac:dyDescent="0.35">
      <c r="A99" t="s">
        <v>23</v>
      </c>
      <c r="B99" t="str">
        <f>[1]!f_info_etfornot(A99)</f>
        <v>是</v>
      </c>
      <c r="C99" t="str">
        <f>[1]!s_info_exchmarket(A99)</f>
        <v>上海</v>
      </c>
      <c r="D99" t="str">
        <f>[1]!f_info_trackindexcode(A99)</f>
        <v>000905.SH</v>
      </c>
      <c r="E99" t="str">
        <f>[1]!f_info_trackindexname(A99)</f>
        <v>中证500</v>
      </c>
    </row>
    <row r="100" spans="1:5" x14ac:dyDescent="0.35">
      <c r="A100" t="s">
        <v>349</v>
      </c>
      <c r="B100" t="str">
        <f>[1]!f_info_etfornot(A100)</f>
        <v>是</v>
      </c>
      <c r="C100" t="str">
        <f>[1]!s_info_exchmarket(A100)</f>
        <v>上海</v>
      </c>
      <c r="D100" t="str">
        <f>[1]!f_info_trackindexcode(A100)</f>
        <v>000905.SH</v>
      </c>
      <c r="E100" t="str">
        <f>[1]!f_info_trackindexname(A100)</f>
        <v>中证500</v>
      </c>
    </row>
    <row r="101" spans="1:5" x14ac:dyDescent="0.35">
      <c r="A101" t="s">
        <v>350</v>
      </c>
      <c r="B101" t="str">
        <f>[1]!f_info_etfornot(A101)</f>
        <v>是</v>
      </c>
      <c r="C101" t="str">
        <f>[1]!s_info_exchmarket(A101)</f>
        <v>上海</v>
      </c>
      <c r="D101" t="str">
        <f>[1]!f_info_trackindexcode(A101)</f>
        <v>000905.SH</v>
      </c>
      <c r="E101" t="str">
        <f>[1]!f_info_trackindexname(A101)</f>
        <v>中证500</v>
      </c>
    </row>
    <row r="102" spans="1:5" x14ac:dyDescent="0.35">
      <c r="A102" t="s">
        <v>351</v>
      </c>
      <c r="B102" t="str">
        <f>[1]!f_info_etfornot(A102)</f>
        <v>是</v>
      </c>
      <c r="C102" t="str">
        <f>[1]!s_info_exchmarket(A102)</f>
        <v>上海</v>
      </c>
      <c r="D102" t="str">
        <f>[1]!f_info_trackindexcode(A102)</f>
        <v>000905.SH</v>
      </c>
      <c r="E102" t="str">
        <f>[1]!f_info_trackindexname(A102)</f>
        <v>中证500</v>
      </c>
    </row>
    <row r="103" spans="1:5" x14ac:dyDescent="0.35">
      <c r="A103" t="s">
        <v>352</v>
      </c>
      <c r="B103" t="str">
        <f>[1]!f_info_etfornot(A103)</f>
        <v>是</v>
      </c>
      <c r="C103" t="str">
        <f>[1]!s_info_exchmarket(A103)</f>
        <v>上海</v>
      </c>
      <c r="D103" t="str">
        <f>[1]!f_info_trackindexcode(A103)</f>
        <v>000905.SH</v>
      </c>
      <c r="E103" t="str">
        <f>[1]!f_info_trackindexname(A103)</f>
        <v>中证500</v>
      </c>
    </row>
    <row r="104" spans="1:5" x14ac:dyDescent="0.35">
      <c r="A104" t="s">
        <v>353</v>
      </c>
      <c r="B104" t="str">
        <f>[1]!f_info_etfornot(A104)</f>
        <v>是</v>
      </c>
      <c r="C104" t="str">
        <f>[1]!s_info_exchmarket(A104)</f>
        <v>深圳</v>
      </c>
      <c r="D104" t="str">
        <f>[1]!f_info_trackindexcode(A104)</f>
        <v>000905.SH</v>
      </c>
      <c r="E104" t="str">
        <f>[1]!f_info_trackindexname(A104)</f>
        <v>中证500</v>
      </c>
    </row>
    <row r="105" spans="1:5" x14ac:dyDescent="0.35">
      <c r="A105" t="s">
        <v>354</v>
      </c>
      <c r="B105" t="str">
        <f>[1]!f_info_etfornot(A105)</f>
        <v>是</v>
      </c>
      <c r="C105" t="str">
        <f>[1]!s_info_exchmarket(A105)</f>
        <v>上海</v>
      </c>
      <c r="D105" t="str">
        <f>[1]!f_info_trackindexcode(A105)</f>
        <v>000905.SH</v>
      </c>
      <c r="E105" t="str">
        <f>[1]!f_info_trackindexname(A105)</f>
        <v>中证500</v>
      </c>
    </row>
    <row r="106" spans="1:5" x14ac:dyDescent="0.35">
      <c r="A106" t="s">
        <v>355</v>
      </c>
      <c r="B106" t="str">
        <f>[1]!f_info_etfornot(A106)</f>
        <v>是</v>
      </c>
      <c r="C106" t="str">
        <f>[1]!s_info_exchmarket(A106)</f>
        <v>深圳</v>
      </c>
      <c r="D106" t="str">
        <f>[1]!f_info_trackindexcode(A106)</f>
        <v>000905.SH</v>
      </c>
      <c r="E106" t="str">
        <f>[1]!f_info_trackindexname(A106)</f>
        <v>中证500</v>
      </c>
    </row>
    <row r="107" spans="1:5" x14ac:dyDescent="0.35">
      <c r="A107" t="s">
        <v>356</v>
      </c>
      <c r="B107" t="str">
        <f>[1]!f_info_etfornot(A107)</f>
        <v>是</v>
      </c>
      <c r="C107" t="str">
        <f>[1]!s_info_exchmarket(A107)</f>
        <v>深圳</v>
      </c>
      <c r="D107" t="str">
        <f>[1]!f_info_trackindexcode(A107)</f>
        <v>000905.SH</v>
      </c>
      <c r="E107" t="str">
        <f>[1]!f_info_trackindexname(A107)</f>
        <v>中证500</v>
      </c>
    </row>
    <row r="108" spans="1:5" x14ac:dyDescent="0.35">
      <c r="A108" t="s">
        <v>357</v>
      </c>
      <c r="B108" t="str">
        <f>[1]!f_info_etfornot(A108)</f>
        <v>是</v>
      </c>
      <c r="C108" t="str">
        <f>[1]!s_info_exchmarket(A108)</f>
        <v>上海</v>
      </c>
      <c r="D108" t="str">
        <f>[1]!f_info_trackindexcode(A108)</f>
        <v>000905.SH</v>
      </c>
      <c r="E108" t="str">
        <f>[1]!f_info_trackindexname(A108)</f>
        <v>中证500</v>
      </c>
    </row>
    <row r="109" spans="1:5" x14ac:dyDescent="0.35">
      <c r="A109" t="s">
        <v>358</v>
      </c>
      <c r="B109" t="str">
        <f>[1]!f_info_etfornot(A109)</f>
        <v>是</v>
      </c>
      <c r="C109" t="str">
        <f>[1]!s_info_exchmarket(A109)</f>
        <v>上海</v>
      </c>
      <c r="D109" t="str">
        <f>[1]!f_info_trackindexcode(A109)</f>
        <v>000905.SH</v>
      </c>
      <c r="E109" t="str">
        <f>[1]!f_info_trackindexname(A109)</f>
        <v>中证500</v>
      </c>
    </row>
    <row r="110" spans="1:5" x14ac:dyDescent="0.35">
      <c r="A110" t="s">
        <v>359</v>
      </c>
      <c r="B110" t="str">
        <f>[1]!f_info_etfornot(A110)</f>
        <v>是</v>
      </c>
      <c r="C110" t="str">
        <f>[1]!s_info_exchmarket(A110)</f>
        <v>上海</v>
      </c>
      <c r="D110" t="str">
        <f>[1]!f_info_trackindexcode(A110)</f>
        <v>000905.SH</v>
      </c>
      <c r="E110" t="str">
        <f>[1]!f_info_trackindexname(A110)</f>
        <v>中证500</v>
      </c>
    </row>
    <row r="111" spans="1:5" x14ac:dyDescent="0.35">
      <c r="A111" t="s">
        <v>360</v>
      </c>
      <c r="B111" t="str">
        <f>[1]!f_info_etfornot(A111)</f>
        <v>是</v>
      </c>
      <c r="C111" t="str">
        <f>[1]!s_info_exchmarket(A111)</f>
        <v>上海</v>
      </c>
      <c r="D111" t="str">
        <f>[1]!f_info_trackindexcode(A111)</f>
        <v>000905.SH</v>
      </c>
      <c r="E111" t="str">
        <f>[1]!f_info_trackindexname(A111)</f>
        <v>中证500</v>
      </c>
    </row>
    <row r="112" spans="1:5" x14ac:dyDescent="0.35">
      <c r="A112" t="s">
        <v>361</v>
      </c>
      <c r="B112" t="str">
        <f>[1]!f_info_etfornot(A112)</f>
        <v>是</v>
      </c>
      <c r="C112" t="str">
        <f>[1]!s_info_exchmarket(A112)</f>
        <v>上海</v>
      </c>
      <c r="D112" t="str">
        <f>[1]!f_info_trackindexcode(A112)</f>
        <v>000905.SH</v>
      </c>
      <c r="E112" t="str">
        <f>[1]!f_info_trackindexname(A112)</f>
        <v>中证500</v>
      </c>
    </row>
    <row r="113" spans="1:5" x14ac:dyDescent="0.35">
      <c r="A113" t="s">
        <v>362</v>
      </c>
      <c r="B113" t="str">
        <f>[1]!f_info_etfornot(A113)</f>
        <v>是</v>
      </c>
      <c r="C113" t="str">
        <f>[1]!s_info_exchmarket(A113)</f>
        <v>深圳</v>
      </c>
      <c r="D113" t="str">
        <f>[1]!f_info_trackindexcode(A113)</f>
        <v>000905.SH</v>
      </c>
      <c r="E113" t="str">
        <f>[1]!f_info_trackindexname(A113)</f>
        <v>中证500</v>
      </c>
    </row>
    <row r="114" spans="1:5" x14ac:dyDescent="0.35">
      <c r="A114" t="s">
        <v>363</v>
      </c>
      <c r="B114" t="str">
        <f>[1]!f_info_etfornot(A114)</f>
        <v>是</v>
      </c>
      <c r="C114" t="str">
        <f>[1]!s_info_exchmarket(A114)</f>
        <v>上海</v>
      </c>
      <c r="D114" t="str">
        <f>[1]!f_info_trackindexcode(A114)</f>
        <v>000905.SH</v>
      </c>
      <c r="E114" t="str">
        <f>[1]!f_info_trackindexname(A114)</f>
        <v>中证500</v>
      </c>
    </row>
    <row r="115" spans="1:5" x14ac:dyDescent="0.35">
      <c r="A115" t="s">
        <v>364</v>
      </c>
      <c r="B115" t="str">
        <f>[1]!f_info_etfornot(A115)</f>
        <v>是</v>
      </c>
      <c r="C115" t="str">
        <f>[1]!s_info_exchmarket(A115)</f>
        <v>上海</v>
      </c>
      <c r="D115" t="str">
        <f>[1]!f_info_trackindexcode(A115)</f>
        <v>000905.SH</v>
      </c>
      <c r="E115" t="str">
        <f>[1]!f_info_trackindexname(A115)</f>
        <v>中证500</v>
      </c>
    </row>
    <row r="116" spans="1:5" x14ac:dyDescent="0.35">
      <c r="A116" t="s">
        <v>365</v>
      </c>
      <c r="B116" t="str">
        <f>[1]!f_info_etfornot(A116)</f>
        <v>是</v>
      </c>
      <c r="C116" t="str">
        <f>[1]!s_info_exchmarket(A116)</f>
        <v>上海</v>
      </c>
      <c r="D116" t="str">
        <f>[1]!f_info_trackindexcode(A116)</f>
        <v>000905.SH</v>
      </c>
      <c r="E116" t="str">
        <f>[1]!f_info_trackindexname(A116)</f>
        <v>中证500</v>
      </c>
    </row>
    <row r="117" spans="1:5" x14ac:dyDescent="0.35">
      <c r="A117" t="s">
        <v>366</v>
      </c>
      <c r="B117" t="str">
        <f>[1]!f_info_etfornot(A117)</f>
        <v>是</v>
      </c>
      <c r="C117" t="str">
        <f>[1]!s_info_exchmarket(A117)</f>
        <v>上海</v>
      </c>
      <c r="D117" t="str">
        <f>[1]!f_info_trackindexcode(A117)</f>
        <v>000905.SH</v>
      </c>
      <c r="E117" t="str">
        <f>[1]!f_info_trackindexname(A117)</f>
        <v>中证500</v>
      </c>
    </row>
    <row r="118" spans="1:5" x14ac:dyDescent="0.35">
      <c r="A118" t="s">
        <v>367</v>
      </c>
      <c r="B118" t="str">
        <f>[1]!f_info_etfornot(A118)</f>
        <v>是</v>
      </c>
      <c r="C118" t="str">
        <f>[1]!s_info_exchmarket(A118)</f>
        <v>上海</v>
      </c>
      <c r="D118" t="str">
        <f>[1]!f_info_trackindexcode(A118)</f>
        <v>000905.SH</v>
      </c>
      <c r="E118" t="str">
        <f>[1]!f_info_trackindexname(A118)</f>
        <v>中证500</v>
      </c>
    </row>
    <row r="119" spans="1:5" x14ac:dyDescent="0.35">
      <c r="A119" t="s">
        <v>368</v>
      </c>
      <c r="B119" t="str">
        <f>[1]!f_info_etfornot(A119)</f>
        <v>是</v>
      </c>
      <c r="C119" t="str">
        <f>[1]!s_info_exchmarket(A119)</f>
        <v>深圳</v>
      </c>
      <c r="D119" t="str">
        <f>[1]!f_info_trackindexcode(A119)</f>
        <v>000905.SH</v>
      </c>
      <c r="E119" t="str">
        <f>[1]!f_info_trackindexname(A119)</f>
        <v>中证500</v>
      </c>
    </row>
    <row r="120" spans="1:5" x14ac:dyDescent="0.35">
      <c r="A120" t="s">
        <v>369</v>
      </c>
      <c r="B120" t="str">
        <f>[1]!f_info_etfornot(A120)</f>
        <v>是</v>
      </c>
      <c r="C120" t="str">
        <f>[1]!s_info_exchmarket(A120)</f>
        <v>上海</v>
      </c>
      <c r="D120" t="str">
        <f>[1]!f_info_trackindexcode(A120)</f>
        <v>000905.SH</v>
      </c>
      <c r="E120" t="str">
        <f>[1]!f_info_trackindexname(A120)</f>
        <v>中证500</v>
      </c>
    </row>
    <row r="121" spans="1:5" x14ac:dyDescent="0.35">
      <c r="A121" t="s">
        <v>370</v>
      </c>
      <c r="B121" t="str">
        <f>[1]!f_info_etfornot(A121)</f>
        <v>是</v>
      </c>
      <c r="C121" t="str">
        <f>[1]!s_info_exchmarket(A121)</f>
        <v>深圳</v>
      </c>
      <c r="D121" t="str">
        <f>[1]!f_info_trackindexcode(A121)</f>
        <v>000905.SH</v>
      </c>
      <c r="E121" t="str">
        <f>[1]!f_info_trackindexname(A121)</f>
        <v>中证500</v>
      </c>
    </row>
    <row r="122" spans="1:5" x14ac:dyDescent="0.35">
      <c r="A122" t="s">
        <v>371</v>
      </c>
      <c r="B122" t="str">
        <f>[1]!f_info_etfornot(A122)</f>
        <v>是</v>
      </c>
      <c r="C122" t="str">
        <f>[1]!s_info_exchmarket(A122)</f>
        <v>深圳</v>
      </c>
      <c r="D122" t="str">
        <f>[1]!f_info_trackindexcode(A122)</f>
        <v>000905.SH</v>
      </c>
      <c r="E122" t="str">
        <f>[1]!f_info_trackindexname(A122)</f>
        <v>中证500</v>
      </c>
    </row>
    <row r="123" spans="1:5" x14ac:dyDescent="0.35">
      <c r="A123" t="s">
        <v>372</v>
      </c>
      <c r="B123" t="str">
        <f>[1]!f_info_etfornot(A123)</f>
        <v>是</v>
      </c>
      <c r="C123" t="str">
        <f>[1]!s_info_exchmarket(A123)</f>
        <v>深圳</v>
      </c>
      <c r="D123" t="str">
        <f>[1]!f_info_trackindexcode(A123)</f>
        <v>399006.SZ</v>
      </c>
      <c r="E123" t="str">
        <f>[1]!f_info_trackindexname(A123)</f>
        <v>创业板指</v>
      </c>
    </row>
    <row r="124" spans="1:5" x14ac:dyDescent="0.35">
      <c r="A124" t="s">
        <v>28</v>
      </c>
      <c r="B124" t="str">
        <f>[1]!f_info_etfornot(A124)</f>
        <v>是</v>
      </c>
      <c r="C124" t="str">
        <f>[1]!s_info_exchmarket(A124)</f>
        <v>深圳</v>
      </c>
      <c r="D124" t="str">
        <f>[1]!f_info_trackindexcode(A124)</f>
        <v>399006.SZ</v>
      </c>
      <c r="E124" t="str">
        <f>[1]!f_info_trackindexname(A124)</f>
        <v>创业板指</v>
      </c>
    </row>
    <row r="125" spans="1:5" x14ac:dyDescent="0.35">
      <c r="A125" t="s">
        <v>373</v>
      </c>
      <c r="B125" t="str">
        <f>[1]!f_info_etfornot(A125)</f>
        <v>是</v>
      </c>
      <c r="C125" t="str">
        <f>[1]!s_info_exchmarket(A125)</f>
        <v>深圳</v>
      </c>
      <c r="D125" t="str">
        <f>[1]!f_info_trackindexcode(A125)</f>
        <v>399006.SZ</v>
      </c>
      <c r="E125" t="str">
        <f>[1]!f_info_trackindexname(A125)</f>
        <v>创业板指</v>
      </c>
    </row>
    <row r="126" spans="1:5" x14ac:dyDescent="0.35">
      <c r="A126" t="s">
        <v>374</v>
      </c>
      <c r="B126" t="str">
        <f>[1]!f_info_etfornot(A126)</f>
        <v>是</v>
      </c>
      <c r="C126" t="str">
        <f>[1]!s_info_exchmarket(A126)</f>
        <v>深圳</v>
      </c>
      <c r="D126" t="str">
        <f>[1]!f_info_trackindexcode(A126)</f>
        <v>399006.SZ</v>
      </c>
      <c r="E126" t="str">
        <f>[1]!f_info_trackindexname(A126)</f>
        <v>创业板指</v>
      </c>
    </row>
    <row r="127" spans="1:5" x14ac:dyDescent="0.35">
      <c r="A127" t="s">
        <v>375</v>
      </c>
      <c r="B127" t="str">
        <f>[1]!f_info_etfornot(A127)</f>
        <v>是</v>
      </c>
      <c r="C127" t="str">
        <f>[1]!s_info_exchmarket(A127)</f>
        <v>深圳</v>
      </c>
      <c r="D127" t="str">
        <f>[1]!f_info_trackindexcode(A127)</f>
        <v>399006.SZ</v>
      </c>
      <c r="E127" t="str">
        <f>[1]!f_info_trackindexname(A127)</f>
        <v>创业板指</v>
      </c>
    </row>
    <row r="128" spans="1:5" x14ac:dyDescent="0.35">
      <c r="A128" t="s">
        <v>376</v>
      </c>
      <c r="B128" t="str">
        <f>[1]!f_info_etfornot(A128)</f>
        <v>是</v>
      </c>
      <c r="C128" t="str">
        <f>[1]!s_info_exchmarket(A128)</f>
        <v>深圳</v>
      </c>
      <c r="D128" t="str">
        <f>[1]!f_info_trackindexcode(A128)</f>
        <v>399006.SZ</v>
      </c>
      <c r="E128" t="str">
        <f>[1]!f_info_trackindexname(A128)</f>
        <v>创业板指</v>
      </c>
    </row>
    <row r="129" spans="1:5" x14ac:dyDescent="0.35">
      <c r="A129" t="s">
        <v>377</v>
      </c>
      <c r="B129" t="str">
        <f>[1]!f_info_etfornot(A129)</f>
        <v>是</v>
      </c>
      <c r="C129" t="str">
        <f>[1]!s_info_exchmarket(A129)</f>
        <v>深圳</v>
      </c>
      <c r="D129" t="str">
        <f>[1]!f_info_trackindexcode(A129)</f>
        <v>399006.SZ</v>
      </c>
      <c r="E129" t="str">
        <f>[1]!f_info_trackindexname(A129)</f>
        <v>创业板指</v>
      </c>
    </row>
    <row r="130" spans="1:5" x14ac:dyDescent="0.35">
      <c r="A130" t="s">
        <v>378</v>
      </c>
      <c r="B130" t="str">
        <f>[1]!f_info_etfornot(A130)</f>
        <v>是</v>
      </c>
      <c r="C130" t="str">
        <f>[1]!s_info_exchmarket(A130)</f>
        <v>深圳</v>
      </c>
      <c r="D130" t="str">
        <f>[1]!f_info_trackindexcode(A130)</f>
        <v>399006.SZ</v>
      </c>
      <c r="E130" t="str">
        <f>[1]!f_info_trackindexname(A130)</f>
        <v>创业板指</v>
      </c>
    </row>
    <row r="131" spans="1:5" x14ac:dyDescent="0.35">
      <c r="A131" t="s">
        <v>379</v>
      </c>
      <c r="B131" t="str">
        <f>[1]!f_info_etfornot(A131)</f>
        <v>是</v>
      </c>
      <c r="C131" t="str">
        <f>[1]!s_info_exchmarket(A131)</f>
        <v>深圳</v>
      </c>
      <c r="D131" t="str">
        <f>[1]!f_info_trackindexcode(A131)</f>
        <v>399006.SZ</v>
      </c>
      <c r="E131" t="str">
        <f>[1]!f_info_trackindexname(A131)</f>
        <v>创业板指</v>
      </c>
    </row>
    <row r="132" spans="1:5" x14ac:dyDescent="0.35">
      <c r="A132" t="s">
        <v>380</v>
      </c>
      <c r="B132" t="str">
        <f>[1]!f_info_etfornot(A132)</f>
        <v>是</v>
      </c>
      <c r="C132" t="str">
        <f>[1]!s_info_exchmarket(A132)</f>
        <v>深圳</v>
      </c>
      <c r="D132" t="str">
        <f>[1]!f_info_trackindexcode(A132)</f>
        <v>399006.SZ</v>
      </c>
      <c r="E132" t="str">
        <f>[1]!f_info_trackindexname(A132)</f>
        <v>创业板指</v>
      </c>
    </row>
    <row r="133" spans="1:5" x14ac:dyDescent="0.35">
      <c r="A133" t="s">
        <v>381</v>
      </c>
      <c r="B133" t="str">
        <f>[1]!f_info_etfornot(A133)</f>
        <v>是</v>
      </c>
      <c r="C133" t="str">
        <f>[1]!s_info_exchmarket(A133)</f>
        <v>深圳</v>
      </c>
      <c r="D133" t="str">
        <f>[1]!f_info_trackindexcode(A133)</f>
        <v>399006.SZ</v>
      </c>
      <c r="E133" t="str">
        <f>[1]!f_info_trackindexname(A133)</f>
        <v>创业板指</v>
      </c>
    </row>
    <row r="134" spans="1:5" x14ac:dyDescent="0.35">
      <c r="A134" t="s">
        <v>382</v>
      </c>
      <c r="B134" t="str">
        <f>[1]!f_info_etfornot(A134)</f>
        <v>是</v>
      </c>
      <c r="C134" t="str">
        <f>[1]!s_info_exchmarket(A134)</f>
        <v>深圳</v>
      </c>
      <c r="D134" t="str">
        <f>[1]!f_info_trackindexcode(A134)</f>
        <v>399006.SZ</v>
      </c>
      <c r="E134" t="str">
        <f>[1]!f_info_trackindexname(A134)</f>
        <v>创业板指</v>
      </c>
    </row>
    <row r="135" spans="1:5" x14ac:dyDescent="0.35">
      <c r="A135" t="s">
        <v>383</v>
      </c>
      <c r="B135" t="str">
        <f>[1]!f_info_etfornot(A135)</f>
        <v>是</v>
      </c>
      <c r="C135" t="str">
        <f>[1]!s_info_exchmarket(A135)</f>
        <v>深圳</v>
      </c>
      <c r="D135" t="str">
        <f>[1]!f_info_trackindexcode(A135)</f>
        <v>399006.SZ</v>
      </c>
      <c r="E135" t="str">
        <f>[1]!f_info_trackindexname(A135)</f>
        <v>创业板指</v>
      </c>
    </row>
    <row r="136" spans="1:5" x14ac:dyDescent="0.35">
      <c r="A136" t="s">
        <v>384</v>
      </c>
      <c r="B136" t="str">
        <f>[1]!f_info_etfornot(A136)</f>
        <v>是</v>
      </c>
      <c r="C136" t="str">
        <f>[1]!s_info_exchmarket(A136)</f>
        <v>深圳</v>
      </c>
      <c r="D136" t="str">
        <f>[1]!f_info_trackindexcode(A136)</f>
        <v>399006.SZ</v>
      </c>
      <c r="E136" t="str">
        <f>[1]!f_info_trackindexname(A136)</f>
        <v>创业板指</v>
      </c>
    </row>
    <row r="137" spans="1:5" x14ac:dyDescent="0.35">
      <c r="A137" t="s">
        <v>385</v>
      </c>
      <c r="B137" t="str">
        <f>[1]!f_info_etfornot(A137)</f>
        <v>是</v>
      </c>
      <c r="C137" t="str">
        <f>[1]!s_info_exchmarket(A137)</f>
        <v>深圳</v>
      </c>
      <c r="D137" t="str">
        <f>[1]!f_info_trackindexcode(A137)</f>
        <v>399006.SZ</v>
      </c>
      <c r="E137" t="str">
        <f>[1]!f_info_trackindexname(A137)</f>
        <v>创业板指</v>
      </c>
    </row>
    <row r="138" spans="1:5" x14ac:dyDescent="0.35">
      <c r="A138" t="s">
        <v>386</v>
      </c>
      <c r="B138" t="str">
        <f>[1]!f_info_etfornot(A138)</f>
        <v>是</v>
      </c>
      <c r="C138" t="str">
        <f>[1]!s_info_exchmarket(A138)</f>
        <v>深圳</v>
      </c>
      <c r="D138" t="str">
        <f>[1]!f_info_trackindexcode(A138)</f>
        <v>399006.SZ</v>
      </c>
      <c r="E138" t="str">
        <f>[1]!f_info_trackindexname(A138)</f>
        <v>创业板指</v>
      </c>
    </row>
    <row r="139" spans="1:5" x14ac:dyDescent="0.35">
      <c r="A139" t="s">
        <v>387</v>
      </c>
      <c r="B139" t="str">
        <f>[1]!f_info_etfornot(A139)</f>
        <v>是</v>
      </c>
      <c r="C139" t="str">
        <f>[1]!s_info_exchmarket(A139)</f>
        <v>香港联交所</v>
      </c>
      <c r="D139" t="str">
        <f>[1]!f_info_trackindexcode(A139)</f>
        <v>399006.SZ</v>
      </c>
      <c r="E139" t="str">
        <f>[1]!f_info_trackindexname(A139)</f>
        <v>创业板指</v>
      </c>
    </row>
    <row r="140" spans="1:5" x14ac:dyDescent="0.35">
      <c r="A140" t="s">
        <v>388</v>
      </c>
      <c r="B140" t="str">
        <f>[1]!f_info_etfornot(A140)</f>
        <v>是</v>
      </c>
      <c r="C140" t="str">
        <f>[1]!s_info_exchmarket(A140)</f>
        <v>香港联交所</v>
      </c>
      <c r="D140" t="str">
        <f>[1]!f_info_trackindexcode(A140)</f>
        <v>399006.SZ</v>
      </c>
      <c r="E140" t="str">
        <f>[1]!f_info_trackindexname(A140)</f>
        <v>创业板指</v>
      </c>
    </row>
    <row r="141" spans="1:5" x14ac:dyDescent="0.35">
      <c r="A141" t="s">
        <v>389</v>
      </c>
      <c r="B141" t="str">
        <f>[1]!f_info_etfornot(A141)</f>
        <v>是</v>
      </c>
      <c r="C141" t="str">
        <f>[1]!s_info_exchmarket(A141)</f>
        <v>上海</v>
      </c>
      <c r="D141" t="str">
        <f>[1]!f_info_trackindexcode(A141)</f>
        <v>000852.SH</v>
      </c>
      <c r="E141" t="str">
        <f>[1]!f_info_trackindexname(A141)</f>
        <v>中证1000</v>
      </c>
    </row>
    <row r="142" spans="1:5" x14ac:dyDescent="0.35">
      <c r="A142" t="s">
        <v>390</v>
      </c>
      <c r="B142" t="str">
        <f>[1]!f_info_etfornot(A142)</f>
        <v>是</v>
      </c>
      <c r="C142" t="str">
        <f>[1]!s_info_exchmarket(A142)</f>
        <v>深圳</v>
      </c>
      <c r="D142" t="str">
        <f>[1]!f_info_trackindexcode(A142)</f>
        <v>000852.SH</v>
      </c>
      <c r="E142" t="str">
        <f>[1]!f_info_trackindexname(A142)</f>
        <v>中证1000</v>
      </c>
    </row>
    <row r="143" spans="1:5" x14ac:dyDescent="0.35">
      <c r="A143" t="s">
        <v>391</v>
      </c>
      <c r="B143" t="str">
        <f>[1]!f_info_etfornot(A143)</f>
        <v>是</v>
      </c>
      <c r="C143" t="str">
        <f>[1]!s_info_exchmarket(A143)</f>
        <v>深圳</v>
      </c>
      <c r="D143" t="str">
        <f>[1]!f_info_trackindexcode(A143)</f>
        <v>000852.SH</v>
      </c>
      <c r="E143" t="str">
        <f>[1]!f_info_trackindexname(A143)</f>
        <v>中证1000</v>
      </c>
    </row>
    <row r="144" spans="1:5" x14ac:dyDescent="0.35">
      <c r="A144" t="s">
        <v>392</v>
      </c>
      <c r="B144" t="str">
        <f>[1]!f_info_etfornot(A144)</f>
        <v>是</v>
      </c>
      <c r="C144" t="str">
        <f>[1]!s_info_exchmarket(A144)</f>
        <v>深圳</v>
      </c>
      <c r="D144" t="str">
        <f>[1]!f_info_trackindexcode(A144)</f>
        <v>000852.SH</v>
      </c>
      <c r="E144" t="str">
        <f>[1]!f_info_trackindexname(A144)</f>
        <v>中证1000</v>
      </c>
    </row>
    <row r="145" spans="1:5" x14ac:dyDescent="0.35">
      <c r="A145" t="s">
        <v>33</v>
      </c>
      <c r="B145" t="str">
        <f>[1]!f_info_etfornot(A145)</f>
        <v>是</v>
      </c>
      <c r="C145" t="str">
        <f>[1]!s_info_exchmarket(A145)</f>
        <v>上海</v>
      </c>
      <c r="D145" t="str">
        <f>[1]!f_info_trackindexcode(A145)</f>
        <v>000852.SH</v>
      </c>
      <c r="E145" t="str">
        <f>[1]!f_info_trackindexname(A145)</f>
        <v>中证1000</v>
      </c>
    </row>
    <row r="146" spans="1:5" x14ac:dyDescent="0.35">
      <c r="A146" t="s">
        <v>393</v>
      </c>
      <c r="B146" t="str">
        <f>[1]!f_info_etfornot(A146)</f>
        <v>是</v>
      </c>
      <c r="C146" t="str">
        <f>[1]!s_info_exchmarket(A146)</f>
        <v>上海</v>
      </c>
      <c r="D146" t="str">
        <f>[1]!f_info_trackindexcode(A146)</f>
        <v>000852.SH</v>
      </c>
      <c r="E146" t="str">
        <f>[1]!f_info_trackindexname(A146)</f>
        <v>中证1000</v>
      </c>
    </row>
    <row r="147" spans="1:5" x14ac:dyDescent="0.35">
      <c r="A147" t="s">
        <v>394</v>
      </c>
      <c r="B147" t="str">
        <f>[1]!f_info_etfornot(A147)</f>
        <v>是</v>
      </c>
      <c r="C147" t="str">
        <f>[1]!s_info_exchmarket(A147)</f>
        <v>上海</v>
      </c>
      <c r="D147" t="str">
        <f>[1]!f_info_trackindexcode(A147)</f>
        <v>000852.SH</v>
      </c>
      <c r="E147" t="str">
        <f>[1]!f_info_trackindexname(A147)</f>
        <v>中证1000</v>
      </c>
    </row>
    <row r="148" spans="1:5" x14ac:dyDescent="0.35">
      <c r="A148" t="s">
        <v>395</v>
      </c>
      <c r="B148" t="str">
        <f>[1]!f_info_etfornot(A148)</f>
        <v>是</v>
      </c>
      <c r="C148" t="str">
        <f>[1]!s_info_exchmarket(A148)</f>
        <v>深圳</v>
      </c>
      <c r="D148" t="str">
        <f>[1]!f_info_trackindexcode(A148)</f>
        <v>000852.SH</v>
      </c>
      <c r="E148" t="str">
        <f>[1]!f_info_trackindexname(A148)</f>
        <v>中证1000</v>
      </c>
    </row>
    <row r="149" spans="1:5" x14ac:dyDescent="0.35">
      <c r="A149" t="s">
        <v>396</v>
      </c>
      <c r="B149" t="str">
        <f>[1]!f_info_etfornot(A149)</f>
        <v>是</v>
      </c>
      <c r="C149" t="str">
        <f>[1]!s_info_exchmarket(A149)</f>
        <v>深圳</v>
      </c>
      <c r="D149" t="str">
        <f>[1]!f_info_trackindexcode(A149)</f>
        <v>000852.SH</v>
      </c>
      <c r="E149" t="str">
        <f>[1]!f_info_trackindexname(A149)</f>
        <v>中证1000</v>
      </c>
    </row>
    <row r="150" spans="1:5" x14ac:dyDescent="0.35">
      <c r="A150" t="s">
        <v>397</v>
      </c>
      <c r="B150" t="str">
        <f>[1]!f_info_etfornot(A150)</f>
        <v>是</v>
      </c>
      <c r="C150" t="str">
        <f>[1]!s_info_exchmarket(A150)</f>
        <v>上海</v>
      </c>
      <c r="D150" t="str">
        <f>[1]!f_info_trackindexcode(A150)</f>
        <v>000852.SH</v>
      </c>
      <c r="E150" t="str">
        <f>[1]!f_info_trackindexname(A150)</f>
        <v>中证1000</v>
      </c>
    </row>
    <row r="151" spans="1:5" x14ac:dyDescent="0.35">
      <c r="A151" t="s">
        <v>398</v>
      </c>
      <c r="B151" t="str">
        <f>[1]!f_info_etfornot(A151)</f>
        <v>是</v>
      </c>
      <c r="C151" t="str">
        <f>[1]!s_info_exchmarket(A151)</f>
        <v>上海</v>
      </c>
      <c r="D151" t="str">
        <f>[1]!f_info_trackindexcode(A151)</f>
        <v>000852.SH</v>
      </c>
      <c r="E151" t="str">
        <f>[1]!f_info_trackindexname(A151)</f>
        <v>中证1000</v>
      </c>
    </row>
    <row r="152" spans="1:5" x14ac:dyDescent="0.35">
      <c r="A152" t="s">
        <v>399</v>
      </c>
      <c r="B152" t="str">
        <f>[1]!f_info_etfornot(A152)</f>
        <v>是</v>
      </c>
      <c r="C152" t="str">
        <f>[1]!s_info_exchmarket(A152)</f>
        <v>上海</v>
      </c>
      <c r="D152" t="str">
        <f>[1]!f_info_trackindexcode(A152)</f>
        <v>000852.SH</v>
      </c>
      <c r="E152" t="str">
        <f>[1]!f_info_trackindexname(A152)</f>
        <v>中证1000</v>
      </c>
    </row>
    <row r="153" spans="1:5" x14ac:dyDescent="0.35">
      <c r="A153" t="s">
        <v>400</v>
      </c>
      <c r="B153" t="str">
        <f>[1]!f_info_etfornot(A153)</f>
        <v>是</v>
      </c>
      <c r="C153" t="str">
        <f>[1]!s_info_exchmarket(A153)</f>
        <v>深圳</v>
      </c>
      <c r="D153" t="str">
        <f>[1]!f_info_trackindexcode(A153)</f>
        <v>000852.SH</v>
      </c>
      <c r="E153" t="str">
        <f>[1]!f_info_trackindexname(A153)</f>
        <v>中证1000</v>
      </c>
    </row>
    <row r="154" spans="1:5" x14ac:dyDescent="0.35">
      <c r="A154" t="s">
        <v>401</v>
      </c>
      <c r="B154" t="str">
        <f>[1]!f_info_etfornot(A154)</f>
        <v>是</v>
      </c>
      <c r="C154" t="str">
        <f>[1]!s_info_exchmarket(A154)</f>
        <v>深圳</v>
      </c>
      <c r="D154" t="str">
        <f>[1]!f_info_trackindexcode(A154)</f>
        <v>000852.SH</v>
      </c>
      <c r="E154" t="str">
        <f>[1]!f_info_trackindexname(A154)</f>
        <v>中证1000</v>
      </c>
    </row>
    <row r="155" spans="1:5" x14ac:dyDescent="0.35">
      <c r="A155" t="s">
        <v>402</v>
      </c>
      <c r="B155" t="str">
        <f>[1]!f_info_etfornot(A155)</f>
        <v>是</v>
      </c>
      <c r="C155" t="str">
        <f>[1]!s_info_exchmarket(A155)</f>
        <v>上海</v>
      </c>
      <c r="D155" t="str">
        <f>[1]!f_info_trackindexcode(A155)</f>
        <v>000852.SH</v>
      </c>
      <c r="E155" t="str">
        <f>[1]!f_info_trackindexname(A155)</f>
        <v>中证1000</v>
      </c>
    </row>
    <row r="156" spans="1:5" x14ac:dyDescent="0.35">
      <c r="A156" t="s">
        <v>403</v>
      </c>
      <c r="B156" t="str">
        <f>[1]!f_info_etfornot(A156)</f>
        <v>是</v>
      </c>
      <c r="C156" t="str">
        <f>[1]!s_info_exchmarket(A156)</f>
        <v>香港联交所</v>
      </c>
      <c r="D156" t="str">
        <f>[1]!f_info_trackindexcode(A156)</f>
        <v>000688.SH</v>
      </c>
      <c r="E156" t="str">
        <f>[1]!f_info_trackindexname(A156)</f>
        <v>科创50</v>
      </c>
    </row>
    <row r="157" spans="1:5" x14ac:dyDescent="0.35">
      <c r="A157" t="s">
        <v>404</v>
      </c>
      <c r="B157" t="str">
        <f>[1]!f_info_etfornot(A157)</f>
        <v>是</v>
      </c>
      <c r="C157" t="str">
        <f>[1]!s_info_exchmarket(A157)</f>
        <v>上海</v>
      </c>
      <c r="D157" t="str">
        <f>[1]!f_info_trackindexcode(A157)</f>
        <v>000688.SH</v>
      </c>
      <c r="E157" t="str">
        <f>[1]!f_info_trackindexname(A157)</f>
        <v>科创50</v>
      </c>
    </row>
    <row r="158" spans="1:5" x14ac:dyDescent="0.35">
      <c r="A158" t="s">
        <v>405</v>
      </c>
      <c r="B158" t="str">
        <f>[1]!f_info_etfornot(A158)</f>
        <v>是</v>
      </c>
      <c r="C158" t="str">
        <f>[1]!s_info_exchmarket(A158)</f>
        <v>上海</v>
      </c>
      <c r="D158" t="str">
        <f>[1]!f_info_trackindexcode(A158)</f>
        <v>000688.SH</v>
      </c>
      <c r="E158" t="str">
        <f>[1]!f_info_trackindexname(A158)</f>
        <v>科创50</v>
      </c>
    </row>
    <row r="159" spans="1:5" x14ac:dyDescent="0.35">
      <c r="A159" t="s">
        <v>406</v>
      </c>
      <c r="B159" t="str">
        <f>[1]!f_info_etfornot(A159)</f>
        <v>是</v>
      </c>
      <c r="C159" t="str">
        <f>[1]!s_info_exchmarket(A159)</f>
        <v>上海</v>
      </c>
      <c r="D159" t="str">
        <f>[1]!f_info_trackindexcode(A159)</f>
        <v>000688.SH</v>
      </c>
      <c r="E159" t="str">
        <f>[1]!f_info_trackindexname(A159)</f>
        <v>科创50</v>
      </c>
    </row>
    <row r="160" spans="1:5" x14ac:dyDescent="0.35">
      <c r="A160" t="s">
        <v>407</v>
      </c>
      <c r="B160" t="str">
        <f>[1]!f_info_etfornot(A160)</f>
        <v>是</v>
      </c>
      <c r="C160" t="str">
        <f>[1]!s_info_exchmarket(A160)</f>
        <v>上海</v>
      </c>
      <c r="D160" t="str">
        <f>[1]!f_info_trackindexcode(A160)</f>
        <v>000688.SH</v>
      </c>
      <c r="E160" t="str">
        <f>[1]!f_info_trackindexname(A160)</f>
        <v>科创50</v>
      </c>
    </row>
    <row r="161" spans="1:5" x14ac:dyDescent="0.35">
      <c r="A161" t="s">
        <v>408</v>
      </c>
      <c r="B161" t="str">
        <f>[1]!f_info_etfornot(A161)</f>
        <v>是</v>
      </c>
      <c r="C161" t="str">
        <f>[1]!s_info_exchmarket(A161)</f>
        <v>香港联交所</v>
      </c>
      <c r="D161" t="str">
        <f>[1]!f_info_trackindexcode(A161)</f>
        <v>000688.SH</v>
      </c>
      <c r="E161" t="str">
        <f>[1]!f_info_trackindexname(A161)</f>
        <v>科创50</v>
      </c>
    </row>
    <row r="162" spans="1:5" x14ac:dyDescent="0.35">
      <c r="A162" t="s">
        <v>409</v>
      </c>
      <c r="B162" t="str">
        <f>[1]!f_info_etfornot(A162)</f>
        <v>是</v>
      </c>
      <c r="C162" t="str">
        <f>[1]!s_info_exchmarket(A162)</f>
        <v>上海</v>
      </c>
      <c r="D162" t="str">
        <f>[1]!f_info_trackindexcode(A162)</f>
        <v>000688.SH</v>
      </c>
      <c r="E162" t="str">
        <f>[1]!f_info_trackindexname(A162)</f>
        <v>科创50</v>
      </c>
    </row>
    <row r="163" spans="1:5" x14ac:dyDescent="0.35">
      <c r="A163" t="s">
        <v>410</v>
      </c>
      <c r="B163" t="str">
        <f>[1]!f_info_etfornot(A163)</f>
        <v>是</v>
      </c>
      <c r="C163" t="str">
        <f>[1]!s_info_exchmarket(A163)</f>
        <v>香港联交所</v>
      </c>
      <c r="D163" t="str">
        <f>[1]!f_info_trackindexcode(A163)</f>
        <v>000688.SH</v>
      </c>
      <c r="E163" t="str">
        <f>[1]!f_info_trackindexname(A163)</f>
        <v>科创50</v>
      </c>
    </row>
    <row r="164" spans="1:5" x14ac:dyDescent="0.35">
      <c r="A164" t="s">
        <v>411</v>
      </c>
      <c r="B164" t="str">
        <f>[1]!f_info_etfornot(A164)</f>
        <v>是</v>
      </c>
      <c r="C164" t="str">
        <f>[1]!s_info_exchmarket(A164)</f>
        <v>上海</v>
      </c>
      <c r="D164" t="str">
        <f>[1]!f_info_trackindexcode(A164)</f>
        <v>000688.SH</v>
      </c>
      <c r="E164" t="str">
        <f>[1]!f_info_trackindexname(A164)</f>
        <v>科创50</v>
      </c>
    </row>
    <row r="165" spans="1:5" x14ac:dyDescent="0.35">
      <c r="A165" t="s">
        <v>412</v>
      </c>
      <c r="B165" t="str">
        <f>[1]!f_info_etfornot(A165)</f>
        <v>是</v>
      </c>
      <c r="C165" t="str">
        <f>[1]!s_info_exchmarket(A165)</f>
        <v>上海</v>
      </c>
      <c r="D165" t="str">
        <f>[1]!f_info_trackindexcode(A165)</f>
        <v>000688.SH</v>
      </c>
      <c r="E165" t="str">
        <f>[1]!f_info_trackindexname(A165)</f>
        <v>科创50</v>
      </c>
    </row>
    <row r="166" spans="1:5" x14ac:dyDescent="0.35">
      <c r="A166" t="s">
        <v>413</v>
      </c>
      <c r="B166" t="str">
        <f>[1]!f_info_etfornot(A166)</f>
        <v>是</v>
      </c>
      <c r="C166" t="str">
        <f>[1]!s_info_exchmarket(A166)</f>
        <v>香港联交所</v>
      </c>
      <c r="D166" t="str">
        <f>[1]!f_info_trackindexcode(A166)</f>
        <v>000688.SH</v>
      </c>
      <c r="E166" t="str">
        <f>[1]!f_info_trackindexname(A166)</f>
        <v>科创50</v>
      </c>
    </row>
    <row r="167" spans="1:5" x14ac:dyDescent="0.35">
      <c r="A167" t="s">
        <v>414</v>
      </c>
      <c r="B167" t="str">
        <f>[1]!f_info_etfornot(A167)</f>
        <v>是</v>
      </c>
      <c r="C167" t="str">
        <f>[1]!s_info_exchmarket(A167)</f>
        <v>香港联交所</v>
      </c>
      <c r="D167" t="str">
        <f>[1]!f_info_trackindexcode(A167)</f>
        <v>000688.SH</v>
      </c>
      <c r="E167" t="str">
        <f>[1]!f_info_trackindexname(A167)</f>
        <v>科创50</v>
      </c>
    </row>
    <row r="168" spans="1:5" x14ac:dyDescent="0.35">
      <c r="A168" t="s">
        <v>415</v>
      </c>
      <c r="B168" t="str">
        <f>[1]!f_info_etfornot(A168)</f>
        <v>是</v>
      </c>
      <c r="C168" t="str">
        <f>[1]!s_info_exchmarket(A168)</f>
        <v>上海</v>
      </c>
      <c r="D168" t="str">
        <f>[1]!f_info_trackindexcode(A168)</f>
        <v>000688.SH</v>
      </c>
      <c r="E168" t="str">
        <f>[1]!f_info_trackindexname(A168)</f>
        <v>科创50</v>
      </c>
    </row>
    <row r="169" spans="1:5" x14ac:dyDescent="0.35">
      <c r="A169" t="s">
        <v>416</v>
      </c>
      <c r="B169" t="str">
        <f>[1]!f_info_etfornot(A169)</f>
        <v>是</v>
      </c>
      <c r="C169" t="str">
        <f>[1]!s_info_exchmarket(A169)</f>
        <v>上海</v>
      </c>
      <c r="D169" t="str">
        <f>[1]!f_info_trackindexcode(A169)</f>
        <v>000688.SH</v>
      </c>
      <c r="E169" t="str">
        <f>[1]!f_info_trackindexname(A169)</f>
        <v>科创50</v>
      </c>
    </row>
    <row r="170" spans="1:5" x14ac:dyDescent="0.35">
      <c r="A170" t="s">
        <v>417</v>
      </c>
      <c r="B170" t="str">
        <f>[1]!f_info_etfornot(A170)</f>
        <v>是</v>
      </c>
      <c r="C170" t="str">
        <f>[1]!s_info_exchmarket(A170)</f>
        <v>上海</v>
      </c>
      <c r="D170" t="str">
        <f>[1]!f_info_trackindexcode(A170)</f>
        <v>000688.SH</v>
      </c>
      <c r="E170" t="str">
        <f>[1]!f_info_trackindexname(A170)</f>
        <v>科创50</v>
      </c>
    </row>
    <row r="171" spans="1:5" x14ac:dyDescent="0.35">
      <c r="A171" t="s">
        <v>418</v>
      </c>
      <c r="B171" t="str">
        <f>[1]!f_info_etfornot(A171)</f>
        <v>是</v>
      </c>
      <c r="C171" t="str">
        <f>[1]!s_info_exchmarket(A171)</f>
        <v>上海</v>
      </c>
      <c r="D171" t="str">
        <f>[1]!f_info_trackindexcode(A171)</f>
        <v>000688.SH</v>
      </c>
      <c r="E171" t="str">
        <f>[1]!f_info_trackindexname(A171)</f>
        <v>科创50</v>
      </c>
    </row>
    <row r="172" spans="1:5" x14ac:dyDescent="0.35">
      <c r="A172" t="s">
        <v>419</v>
      </c>
      <c r="B172" t="str">
        <f>[1]!f_info_etfornot(A172)</f>
        <v>是</v>
      </c>
      <c r="C172" t="str">
        <f>[1]!s_info_exchmarket(A172)</f>
        <v>上海</v>
      </c>
      <c r="D172" t="str">
        <f>[1]!f_info_trackindexcode(A172)</f>
        <v>000688.SH</v>
      </c>
      <c r="E172" t="str">
        <f>[1]!f_info_trackindexname(A172)</f>
        <v>科创50</v>
      </c>
    </row>
    <row r="173" spans="1:5" x14ac:dyDescent="0.35">
      <c r="A173" t="s">
        <v>420</v>
      </c>
      <c r="B173" t="str">
        <f>[1]!f_info_etfornot(A173)</f>
        <v>是</v>
      </c>
      <c r="C173" t="str">
        <f>[1]!s_info_exchmarket(A173)</f>
        <v>香港联交所</v>
      </c>
      <c r="D173" t="str">
        <f>[1]!f_info_trackindexcode(A173)</f>
        <v>000688.SH</v>
      </c>
      <c r="E173" t="str">
        <f>[1]!f_info_trackindexname(A173)</f>
        <v>科创50</v>
      </c>
    </row>
    <row r="174" spans="1:5" x14ac:dyDescent="0.35">
      <c r="A174" t="s">
        <v>421</v>
      </c>
      <c r="B174" t="str">
        <f>[1]!f_info_etfornot(A174)</f>
        <v>是</v>
      </c>
      <c r="C174" t="str">
        <f>[1]!s_info_exchmarket(A174)</f>
        <v>上海</v>
      </c>
      <c r="D174" t="str">
        <f>[1]!f_info_trackindexcode(A174)</f>
        <v>000688.SH</v>
      </c>
      <c r="E174" t="str">
        <f>[1]!f_info_trackindexname(A174)</f>
        <v>科创50</v>
      </c>
    </row>
    <row r="175" spans="1:5" x14ac:dyDescent="0.35">
      <c r="A175" t="s">
        <v>422</v>
      </c>
      <c r="B175" t="str">
        <f>[1]!f_info_etfornot(A175)</f>
        <v>是</v>
      </c>
      <c r="C175" t="str">
        <f>[1]!s_info_exchmarket(A175)</f>
        <v>上海</v>
      </c>
      <c r="D175" t="str">
        <f>[1]!f_info_trackindexcode(A175)</f>
        <v>000688.SH</v>
      </c>
      <c r="E175" t="str">
        <f>[1]!f_info_trackindexname(A175)</f>
        <v>科创50</v>
      </c>
    </row>
    <row r="176" spans="1:5" x14ac:dyDescent="0.35">
      <c r="A176" t="s">
        <v>423</v>
      </c>
      <c r="B176" t="str">
        <f>[1]!f_info_etfornot(A176)</f>
        <v>是</v>
      </c>
      <c r="C176" t="str">
        <f>[1]!s_info_exchmarket(A176)</f>
        <v>上海</v>
      </c>
      <c r="D176" t="str">
        <f>[1]!f_info_trackindexcode(A176)</f>
        <v>000688.SH</v>
      </c>
      <c r="E176" t="str">
        <f>[1]!f_info_trackindexname(A176)</f>
        <v>科创50</v>
      </c>
    </row>
    <row r="177" spans="1:5" x14ac:dyDescent="0.35">
      <c r="A177" t="s">
        <v>424</v>
      </c>
      <c r="B177" t="str">
        <f>[1]!f_info_etfornot(A177)</f>
        <v>是</v>
      </c>
      <c r="C177" t="str">
        <f>[1]!s_info_exchmarket(A177)</f>
        <v>上海</v>
      </c>
      <c r="D177" t="str">
        <f>[1]!f_info_trackindexcode(A177)</f>
        <v>000688.SH</v>
      </c>
      <c r="E177" t="str">
        <f>[1]!f_info_trackindexname(A177)</f>
        <v>科创50</v>
      </c>
    </row>
    <row r="178" spans="1:5" x14ac:dyDescent="0.35">
      <c r="A178" t="s">
        <v>425</v>
      </c>
      <c r="B178" t="str">
        <f>[1]!f_info_etfornot(A178)</f>
        <v>是</v>
      </c>
      <c r="C178" t="str">
        <f>[1]!s_info_exchmarket(A178)</f>
        <v>上海</v>
      </c>
      <c r="D178" t="str">
        <f>[1]!f_info_trackindexcode(A178)</f>
        <v>000688.SH</v>
      </c>
      <c r="E178" t="str">
        <f>[1]!f_info_trackindexname(A178)</f>
        <v>科创50</v>
      </c>
    </row>
    <row r="179" spans="1:5" x14ac:dyDescent="0.35">
      <c r="A179" t="s">
        <v>38</v>
      </c>
      <c r="B179" t="str">
        <f>[1]!f_info_etfornot(A179)</f>
        <v>是</v>
      </c>
      <c r="C179" t="str">
        <f>[1]!s_info_exchmarket(A179)</f>
        <v>上海</v>
      </c>
      <c r="D179" t="str">
        <f>[1]!f_info_trackindexcode(A179)</f>
        <v>000688.SH</v>
      </c>
      <c r="E179" t="str">
        <f>[1]!f_info_trackindexname(A179)</f>
        <v>科创50</v>
      </c>
    </row>
    <row r="180" spans="1:5" x14ac:dyDescent="0.35">
      <c r="A180" t="s">
        <v>426</v>
      </c>
      <c r="B180" t="str">
        <f>[1]!f_info_etfornot(A180)</f>
        <v>是</v>
      </c>
      <c r="C180" t="str">
        <f>[1]!s_info_exchmarket(A180)</f>
        <v>上海</v>
      </c>
      <c r="D180" t="str">
        <f>[1]!f_info_trackindexcode(A180)</f>
        <v>000688.SH</v>
      </c>
      <c r="E180" t="str">
        <f>[1]!f_info_trackindexname(A180)</f>
        <v>科创50</v>
      </c>
    </row>
    <row r="181" spans="1:5" x14ac:dyDescent="0.35">
      <c r="A181" t="s">
        <v>43</v>
      </c>
      <c r="B181" t="str">
        <f>[1]!f_info_etfornot(A181)</f>
        <v>是</v>
      </c>
      <c r="C181" t="str">
        <f>[1]!s_info_exchmarket(A181)</f>
        <v>上海</v>
      </c>
      <c r="D181" t="str">
        <f>[1]!f_info_trackindexcode(A181)</f>
        <v>SPCLLHCP.SPI</v>
      </c>
      <c r="E181" t="str">
        <f>[1]!f_info_trackindexname(A181)</f>
        <v>标普中国A股大盘红利低波50</v>
      </c>
    </row>
    <row r="182" spans="1:5" x14ac:dyDescent="0.35">
      <c r="A182" t="s">
        <v>48</v>
      </c>
      <c r="B182" t="str">
        <f>[1]!f_info_etfornot(A182)</f>
        <v>是</v>
      </c>
      <c r="C182" t="str">
        <f>[1]!s_info_exchmarket(A182)</f>
        <v>深圳</v>
      </c>
      <c r="D182" t="str">
        <f>[1]!f_info_trackindexcode(A182)</f>
        <v>931468.CSI</v>
      </c>
      <c r="E182" t="str">
        <f>[1]!f_info_trackindexname(A182)</f>
        <v>红利质量</v>
      </c>
    </row>
    <row r="183" spans="1:5" x14ac:dyDescent="0.35">
      <c r="A183" t="s">
        <v>427</v>
      </c>
      <c r="B183" t="str">
        <f>[1]!f_info_etfornot(A183)</f>
        <v>是</v>
      </c>
      <c r="C183" t="str">
        <f>[1]!s_info_exchmarket(A183)</f>
        <v>深圳</v>
      </c>
      <c r="D183" t="str">
        <f>[1]!f_info_trackindexcode(A183)</f>
        <v>399975.SZ</v>
      </c>
      <c r="E183" t="str">
        <f>[1]!f_info_trackindexname(A183)</f>
        <v>证券公司</v>
      </c>
    </row>
    <row r="184" spans="1:5" x14ac:dyDescent="0.35">
      <c r="A184" t="s">
        <v>428</v>
      </c>
      <c r="B184" t="str">
        <f>[1]!f_info_etfornot(A184)</f>
        <v>是</v>
      </c>
      <c r="C184" t="str">
        <f>[1]!s_info_exchmarket(A184)</f>
        <v>上海</v>
      </c>
      <c r="D184" t="str">
        <f>[1]!f_info_trackindexcode(A184)</f>
        <v>399975.SZ</v>
      </c>
      <c r="E184" t="str">
        <f>[1]!f_info_trackindexname(A184)</f>
        <v>证券公司</v>
      </c>
    </row>
    <row r="185" spans="1:5" x14ac:dyDescent="0.35">
      <c r="A185" t="s">
        <v>429</v>
      </c>
      <c r="B185" t="str">
        <f>[1]!f_info_etfornot(A185)</f>
        <v>是</v>
      </c>
      <c r="C185" t="str">
        <f>[1]!s_info_exchmarket(A185)</f>
        <v>上海</v>
      </c>
      <c r="D185" t="str">
        <f>[1]!f_info_trackindexcode(A185)</f>
        <v>399975.SZ</v>
      </c>
      <c r="E185" t="str">
        <f>[1]!f_info_trackindexname(A185)</f>
        <v>证券公司</v>
      </c>
    </row>
    <row r="186" spans="1:5" x14ac:dyDescent="0.35">
      <c r="A186" t="s">
        <v>430</v>
      </c>
      <c r="B186" t="str">
        <f>[1]!f_info_etfornot(A186)</f>
        <v>是</v>
      </c>
      <c r="C186" t="str">
        <f>[1]!s_info_exchmarket(A186)</f>
        <v>上海</v>
      </c>
      <c r="D186" t="str">
        <f>[1]!f_info_trackindexcode(A186)</f>
        <v>399975.SZ</v>
      </c>
      <c r="E186" t="str">
        <f>[1]!f_info_trackindexname(A186)</f>
        <v>证券公司</v>
      </c>
    </row>
    <row r="187" spans="1:5" x14ac:dyDescent="0.35">
      <c r="A187" t="s">
        <v>431</v>
      </c>
      <c r="B187" t="str">
        <f>[1]!f_info_etfornot(A187)</f>
        <v>是</v>
      </c>
      <c r="C187" t="str">
        <f>[1]!s_info_exchmarket(A187)</f>
        <v>上海</v>
      </c>
      <c r="D187" t="str">
        <f>[1]!f_info_trackindexcode(A187)</f>
        <v>399975.SZ</v>
      </c>
      <c r="E187" t="str">
        <f>[1]!f_info_trackindexname(A187)</f>
        <v>证券公司</v>
      </c>
    </row>
    <row r="188" spans="1:5" x14ac:dyDescent="0.35">
      <c r="A188" t="s">
        <v>432</v>
      </c>
      <c r="B188" t="str">
        <f>[1]!f_info_etfornot(A188)</f>
        <v>是</v>
      </c>
      <c r="C188" t="str">
        <f>[1]!s_info_exchmarket(A188)</f>
        <v>深圳</v>
      </c>
      <c r="D188" t="str">
        <f>[1]!f_info_trackindexcode(A188)</f>
        <v>399975.SZ</v>
      </c>
      <c r="E188" t="str">
        <f>[1]!f_info_trackindexname(A188)</f>
        <v>证券公司</v>
      </c>
    </row>
    <row r="189" spans="1:5" x14ac:dyDescent="0.35">
      <c r="A189" t="s">
        <v>53</v>
      </c>
      <c r="B189" t="str">
        <f>[1]!f_info_etfornot(A189)</f>
        <v>是</v>
      </c>
      <c r="C189" t="str">
        <f>[1]!s_info_exchmarket(A189)</f>
        <v>上海</v>
      </c>
      <c r="D189" t="str">
        <f>[1]!f_info_trackindexcode(A189)</f>
        <v>399975.SZ</v>
      </c>
      <c r="E189" t="str">
        <f>[1]!f_info_trackindexname(A189)</f>
        <v>证券公司</v>
      </c>
    </row>
    <row r="190" spans="1:5" x14ac:dyDescent="0.35">
      <c r="A190" t="s">
        <v>433</v>
      </c>
      <c r="B190" t="str">
        <f>[1]!f_info_etfornot(A190)</f>
        <v>是</v>
      </c>
      <c r="C190" t="str">
        <f>[1]!s_info_exchmarket(A190)</f>
        <v>深圳</v>
      </c>
      <c r="D190" t="str">
        <f>[1]!f_info_trackindexcode(A190)</f>
        <v>399975.SZ</v>
      </c>
      <c r="E190" t="str">
        <f>[1]!f_info_trackindexname(A190)</f>
        <v>证券公司</v>
      </c>
    </row>
    <row r="191" spans="1:5" x14ac:dyDescent="0.35">
      <c r="A191" t="s">
        <v>434</v>
      </c>
      <c r="B191" t="str">
        <f>[1]!f_info_etfornot(A191)</f>
        <v>是</v>
      </c>
      <c r="C191" t="str">
        <f>[1]!s_info_exchmarket(A191)</f>
        <v>上海</v>
      </c>
      <c r="D191" t="str">
        <f>[1]!f_info_trackindexcode(A191)</f>
        <v>399975.SZ</v>
      </c>
      <c r="E191" t="str">
        <f>[1]!f_info_trackindexname(A191)</f>
        <v>证券公司</v>
      </c>
    </row>
    <row r="192" spans="1:5" x14ac:dyDescent="0.35">
      <c r="A192" t="s">
        <v>435</v>
      </c>
      <c r="B192" t="str">
        <f>[1]!f_info_etfornot(A192)</f>
        <v>是</v>
      </c>
      <c r="C192" t="str">
        <f>[1]!s_info_exchmarket(A192)</f>
        <v>上海</v>
      </c>
      <c r="D192" t="str">
        <f>[1]!f_info_trackindexcode(A192)</f>
        <v>399975.SZ</v>
      </c>
      <c r="E192" t="str">
        <f>[1]!f_info_trackindexname(A192)</f>
        <v>证券公司</v>
      </c>
    </row>
    <row r="193" spans="1:5" x14ac:dyDescent="0.35">
      <c r="A193" t="s">
        <v>436</v>
      </c>
      <c r="B193" t="str">
        <f>[1]!f_info_etfornot(A193)</f>
        <v>是</v>
      </c>
      <c r="C193" t="str">
        <f>[1]!s_info_exchmarket(A193)</f>
        <v>上海</v>
      </c>
      <c r="D193" t="str">
        <f>[1]!f_info_trackindexcode(A193)</f>
        <v>399975.SZ</v>
      </c>
      <c r="E193" t="str">
        <f>[1]!f_info_trackindexname(A193)</f>
        <v>证券公司</v>
      </c>
    </row>
    <row r="194" spans="1:5" x14ac:dyDescent="0.35">
      <c r="A194" t="s">
        <v>437</v>
      </c>
      <c r="B194" t="str">
        <f>[1]!f_info_etfornot(A194)</f>
        <v>是</v>
      </c>
      <c r="C194" t="str">
        <f>[1]!s_info_exchmarket(A194)</f>
        <v>深圳</v>
      </c>
      <c r="D194" t="str">
        <f>[1]!f_info_trackindexcode(A194)</f>
        <v>399975.SZ</v>
      </c>
      <c r="E194" t="str">
        <f>[1]!f_info_trackindexname(A194)</f>
        <v>证券公司</v>
      </c>
    </row>
    <row r="195" spans="1:5" x14ac:dyDescent="0.35">
      <c r="A195" t="s">
        <v>438</v>
      </c>
      <c r="B195" t="str">
        <f>[1]!f_info_etfornot(A195)</f>
        <v>是</v>
      </c>
      <c r="C195" t="str">
        <f>[1]!s_info_exchmarket(A195)</f>
        <v>上海</v>
      </c>
      <c r="D195" t="str">
        <f>[1]!f_info_trackindexcode(A195)</f>
        <v>399975.SZ</v>
      </c>
      <c r="E195" t="str">
        <f>[1]!f_info_trackindexname(A195)</f>
        <v>证券公司</v>
      </c>
    </row>
    <row r="196" spans="1:5" x14ac:dyDescent="0.35">
      <c r="A196" t="s">
        <v>439</v>
      </c>
      <c r="B196" t="str">
        <f>[1]!f_info_etfornot(A196)</f>
        <v>是</v>
      </c>
      <c r="C196" t="str">
        <f>[1]!s_info_exchmarket(A196)</f>
        <v>上海</v>
      </c>
      <c r="D196" t="str">
        <f>[1]!f_info_trackindexcode(A196)</f>
        <v>399975.SZ</v>
      </c>
      <c r="E196" t="str">
        <f>[1]!f_info_trackindexname(A196)</f>
        <v>证券公司</v>
      </c>
    </row>
    <row r="197" spans="1:5" x14ac:dyDescent="0.35">
      <c r="A197" t="s">
        <v>440</v>
      </c>
      <c r="B197" t="str">
        <f>[1]!f_info_etfornot(A197)</f>
        <v>是</v>
      </c>
      <c r="C197" t="str">
        <f>[1]!s_info_exchmarket(A197)</f>
        <v>深圳</v>
      </c>
      <c r="D197" t="str">
        <f>[1]!f_info_trackindexcode(A197)</f>
        <v>000932.SH</v>
      </c>
      <c r="E197" t="str">
        <f>[1]!f_info_trackindexname(A197)</f>
        <v>800消费</v>
      </c>
    </row>
    <row r="198" spans="1:5" x14ac:dyDescent="0.35">
      <c r="A198" t="s">
        <v>441</v>
      </c>
      <c r="B198" t="str">
        <f>[1]!f_info_etfornot(A198)</f>
        <v>是</v>
      </c>
      <c r="C198" t="str">
        <f>[1]!s_info_exchmarket(A198)</f>
        <v>上海</v>
      </c>
      <c r="D198" t="str">
        <f>[1]!f_info_trackindexcode(A198)</f>
        <v>000932.SH</v>
      </c>
      <c r="E198" t="str">
        <f>[1]!f_info_trackindexname(A198)</f>
        <v>800消费</v>
      </c>
    </row>
    <row r="199" spans="1:5" x14ac:dyDescent="0.35">
      <c r="A199" t="s">
        <v>442</v>
      </c>
      <c r="B199" t="str">
        <f>[1]!f_info_etfornot(A199)</f>
        <v>是</v>
      </c>
      <c r="C199" t="str">
        <f>[1]!s_info_exchmarket(A199)</f>
        <v>上海</v>
      </c>
      <c r="D199" t="str">
        <f>[1]!f_info_trackindexcode(A199)</f>
        <v>000932.SH</v>
      </c>
      <c r="E199" t="str">
        <f>[1]!f_info_trackindexname(A199)</f>
        <v>800消费</v>
      </c>
    </row>
    <row r="200" spans="1:5" x14ac:dyDescent="0.35">
      <c r="A200" t="s">
        <v>58</v>
      </c>
      <c r="B200" t="str">
        <f>[1]!f_info_etfornot(A200)</f>
        <v>是</v>
      </c>
      <c r="C200" t="str">
        <f>[1]!s_info_exchmarket(A200)</f>
        <v>深圳</v>
      </c>
      <c r="D200" t="str">
        <f>[1]!f_info_trackindexcode(A200)</f>
        <v>000932.SH</v>
      </c>
      <c r="E200" t="str">
        <f>[1]!f_info_trackindexname(A200)</f>
        <v>800消费</v>
      </c>
    </row>
    <row r="201" spans="1:5" x14ac:dyDescent="0.35">
      <c r="A201" t="s">
        <v>443</v>
      </c>
      <c r="B201" t="str">
        <f>[1]!f_info_etfornot(A201)</f>
        <v>是</v>
      </c>
      <c r="C201" t="str">
        <f>[1]!s_info_exchmarket(A201)</f>
        <v>深圳</v>
      </c>
      <c r="D201" t="str">
        <f>[1]!f_info_trackindexcode(A201)</f>
        <v>000932.SH</v>
      </c>
      <c r="E201" t="str">
        <f>[1]!f_info_trackindexname(A201)</f>
        <v>800消费</v>
      </c>
    </row>
    <row r="202" spans="1:5" x14ac:dyDescent="0.35">
      <c r="A202" t="s">
        <v>63</v>
      </c>
      <c r="B202" t="str">
        <f>[1]!f_info_etfornot(A202)</f>
        <v>是</v>
      </c>
      <c r="C202" t="str">
        <f>[1]!s_info_exchmarket(A202)</f>
        <v>上海</v>
      </c>
      <c r="D202" t="str">
        <f>[1]!f_info_trackindexcode(A202)</f>
        <v>h30184.CSI</v>
      </c>
      <c r="E202" t="str">
        <f>[1]!f_info_trackindexname(A202)</f>
        <v>中证全指半导体</v>
      </c>
    </row>
    <row r="203" spans="1:5" x14ac:dyDescent="0.35">
      <c r="A203" t="s">
        <v>444</v>
      </c>
      <c r="B203" t="str">
        <f>[1]!f_info_etfornot(A203)</f>
        <v>是</v>
      </c>
      <c r="C203" t="str">
        <f>[1]!s_info_exchmarket(A203)</f>
        <v>上海</v>
      </c>
      <c r="D203" t="str">
        <f>[1]!f_info_trackindexcode(A203)</f>
        <v>399986.SZ</v>
      </c>
      <c r="E203" t="str">
        <f>[1]!f_info_trackindexname(A203)</f>
        <v>中证银行</v>
      </c>
    </row>
    <row r="204" spans="1:5" x14ac:dyDescent="0.35">
      <c r="A204" t="s">
        <v>68</v>
      </c>
      <c r="B204" t="str">
        <f>[1]!f_info_etfornot(A204)</f>
        <v>是</v>
      </c>
      <c r="C204" t="str">
        <f>[1]!s_info_exchmarket(A204)</f>
        <v>上海</v>
      </c>
      <c r="D204" t="str">
        <f>[1]!f_info_trackindexcode(A204)</f>
        <v>399986.SZ</v>
      </c>
      <c r="E204" t="str">
        <f>[1]!f_info_trackindexname(A204)</f>
        <v>中证银行</v>
      </c>
    </row>
    <row r="205" spans="1:5" x14ac:dyDescent="0.35">
      <c r="A205" t="s">
        <v>445</v>
      </c>
      <c r="B205" t="str">
        <f>[1]!f_info_etfornot(A205)</f>
        <v>是</v>
      </c>
      <c r="C205" t="str">
        <f>[1]!s_info_exchmarket(A205)</f>
        <v>上海</v>
      </c>
      <c r="D205" t="str">
        <f>[1]!f_info_trackindexcode(A205)</f>
        <v>399986.SZ</v>
      </c>
      <c r="E205" t="str">
        <f>[1]!f_info_trackindexname(A205)</f>
        <v>中证银行</v>
      </c>
    </row>
    <row r="206" spans="1:5" x14ac:dyDescent="0.35">
      <c r="A206" t="s">
        <v>446</v>
      </c>
      <c r="B206" t="str">
        <f>[1]!f_info_etfornot(A206)</f>
        <v>是</v>
      </c>
      <c r="C206" t="str">
        <f>[1]!s_info_exchmarket(A206)</f>
        <v>上海</v>
      </c>
      <c r="D206" t="str">
        <f>[1]!f_info_trackindexcode(A206)</f>
        <v>399986.SZ</v>
      </c>
      <c r="E206" t="str">
        <f>[1]!f_info_trackindexname(A206)</f>
        <v>中证银行</v>
      </c>
    </row>
    <row r="207" spans="1:5" x14ac:dyDescent="0.35">
      <c r="A207" t="s">
        <v>447</v>
      </c>
      <c r="B207" t="str">
        <f>[1]!f_info_etfornot(A207)</f>
        <v>是</v>
      </c>
      <c r="C207" t="str">
        <f>[1]!s_info_exchmarket(A207)</f>
        <v>上海</v>
      </c>
      <c r="D207" t="str">
        <f>[1]!f_info_trackindexcode(A207)</f>
        <v>399986.SZ</v>
      </c>
      <c r="E207" t="str">
        <f>[1]!f_info_trackindexname(A207)</f>
        <v>中证银行</v>
      </c>
    </row>
    <row r="208" spans="1:5" x14ac:dyDescent="0.35">
      <c r="A208" t="s">
        <v>448</v>
      </c>
      <c r="B208" t="str">
        <f>[1]!f_info_etfornot(A208)</f>
        <v>是</v>
      </c>
      <c r="C208" t="str">
        <f>[1]!s_info_exchmarket(A208)</f>
        <v>上海</v>
      </c>
      <c r="D208" t="str">
        <f>[1]!f_info_trackindexcode(A208)</f>
        <v>399986.SZ</v>
      </c>
      <c r="E208" t="str">
        <f>[1]!f_info_trackindexname(A208)</f>
        <v>中证银行</v>
      </c>
    </row>
    <row r="209" spans="1:5" x14ac:dyDescent="0.35">
      <c r="A209" t="s">
        <v>449</v>
      </c>
      <c r="B209" t="str">
        <f>[1]!f_info_etfornot(A209)</f>
        <v>是</v>
      </c>
      <c r="C209" t="str">
        <f>[1]!s_info_exchmarket(A209)</f>
        <v>上海</v>
      </c>
      <c r="D209" t="str">
        <f>[1]!f_info_trackindexcode(A209)</f>
        <v>399986.SZ</v>
      </c>
      <c r="E209" t="str">
        <f>[1]!f_info_trackindexname(A209)</f>
        <v>中证银行</v>
      </c>
    </row>
    <row r="210" spans="1:5" x14ac:dyDescent="0.35">
      <c r="A210" t="s">
        <v>450</v>
      </c>
      <c r="B210" t="str">
        <f>[1]!f_info_etfornot(A210)</f>
        <v>是</v>
      </c>
      <c r="C210" t="str">
        <f>[1]!s_info_exchmarket(A210)</f>
        <v>上海</v>
      </c>
      <c r="D210" t="str">
        <f>[1]!f_info_trackindexcode(A210)</f>
        <v>399986.SZ</v>
      </c>
      <c r="E210" t="str">
        <f>[1]!f_info_trackindexname(A210)</f>
        <v>中证银行</v>
      </c>
    </row>
    <row r="211" spans="1:5" x14ac:dyDescent="0.35">
      <c r="A211" t="s">
        <v>451</v>
      </c>
      <c r="B211" t="str">
        <f>[1]!f_info_etfornot(A211)</f>
        <v>是</v>
      </c>
      <c r="C211" t="str">
        <f>[1]!s_info_exchmarket(A211)</f>
        <v>深圳</v>
      </c>
      <c r="D211" t="str">
        <f>[1]!f_info_trackindexcode(A211)</f>
        <v>399986.SZ</v>
      </c>
      <c r="E211" t="str">
        <f>[1]!f_info_trackindexname(A211)</f>
        <v>中证银行</v>
      </c>
    </row>
    <row r="212" spans="1:5" x14ac:dyDescent="0.35">
      <c r="A212" t="s">
        <v>73</v>
      </c>
      <c r="B212" t="str">
        <f>[1]!f_info_etfornot(A212)</f>
        <v>是</v>
      </c>
      <c r="C212" t="str">
        <f>[1]!s_info_exchmarket(A212)</f>
        <v>上海</v>
      </c>
      <c r="D212" t="str">
        <f>[1]!f_info_trackindexcode(A212)</f>
        <v>399967.SZ</v>
      </c>
      <c r="E212" t="str">
        <f>[1]!f_info_trackindexname(A212)</f>
        <v>中证军工</v>
      </c>
    </row>
    <row r="213" spans="1:5" x14ac:dyDescent="0.35">
      <c r="A213" t="s">
        <v>452</v>
      </c>
      <c r="B213" t="str">
        <f>[1]!f_info_etfornot(A213)</f>
        <v>是</v>
      </c>
      <c r="C213" t="str">
        <f>[1]!s_info_exchmarket(A213)</f>
        <v>上海</v>
      </c>
      <c r="D213" t="str">
        <f>[1]!f_info_trackindexcode(A213)</f>
        <v>399967.SZ</v>
      </c>
      <c r="E213" t="str">
        <f>[1]!f_info_trackindexname(A213)</f>
        <v>中证军工</v>
      </c>
    </row>
    <row r="214" spans="1:5" x14ac:dyDescent="0.35">
      <c r="A214" t="s">
        <v>453</v>
      </c>
      <c r="B214" t="str">
        <f>[1]!f_info_etfornot(A214)</f>
        <v>是</v>
      </c>
      <c r="C214" t="str">
        <f>[1]!s_info_exchmarket(A214)</f>
        <v>上海</v>
      </c>
      <c r="D214" t="str">
        <f>[1]!f_info_trackindexcode(A214)</f>
        <v>399967.SZ</v>
      </c>
      <c r="E214" t="str">
        <f>[1]!f_info_trackindexname(A214)</f>
        <v>中证军工</v>
      </c>
    </row>
    <row r="215" spans="1:5" x14ac:dyDescent="0.35">
      <c r="A215" t="s">
        <v>454</v>
      </c>
      <c r="B215" t="str">
        <f>[1]!f_info_etfornot(A215)</f>
        <v>是</v>
      </c>
      <c r="C215" t="str">
        <f>[1]!s_info_exchmarket(A215)</f>
        <v>上海</v>
      </c>
      <c r="D215" t="str">
        <f>[1]!f_info_trackindexcode(A215)</f>
        <v>399967.SZ</v>
      </c>
      <c r="E215" t="str">
        <f>[1]!f_info_trackindexname(A215)</f>
        <v>中证军工</v>
      </c>
    </row>
    <row r="216" spans="1:5" x14ac:dyDescent="0.35">
      <c r="A216" t="s">
        <v>78</v>
      </c>
      <c r="B216" t="str">
        <f>[1]!f_info_etfornot(A216)</f>
        <v>是</v>
      </c>
      <c r="C216" t="str">
        <f>[1]!s_info_exchmarket(A216)</f>
        <v>上海</v>
      </c>
      <c r="D216" t="str">
        <f>[1]!f_info_trackindexcode(A216)</f>
        <v>000913.SH</v>
      </c>
      <c r="E216" t="str">
        <f>[1]!f_info_trackindexname(A216)</f>
        <v>300医药</v>
      </c>
    </row>
    <row r="217" spans="1:5" x14ac:dyDescent="0.35">
      <c r="A217" t="s">
        <v>83</v>
      </c>
      <c r="B217" t="str">
        <f>[1]!f_info_etfornot(A217)</f>
        <v>是</v>
      </c>
      <c r="C217" t="str">
        <f>[1]!s_info_exchmarket(A217)</f>
        <v>上海</v>
      </c>
      <c r="D217" t="str">
        <f>[1]!f_info_trackindexcode(A217)</f>
        <v>000819.SH</v>
      </c>
      <c r="E217" t="str">
        <f>[1]!f_info_trackindexname(A217)</f>
        <v>有色金属</v>
      </c>
    </row>
    <row r="218" spans="1:5" x14ac:dyDescent="0.35">
      <c r="A218" t="s">
        <v>88</v>
      </c>
      <c r="B218" t="str">
        <f>[1]!f_info_etfornot(A218)</f>
        <v>是</v>
      </c>
      <c r="C218" t="str">
        <f>[1]!s_info_exchmarket(A218)</f>
        <v>上海</v>
      </c>
      <c r="D218" t="str">
        <f>[1]!f_info_trackindexcode(A218)</f>
        <v>399998.SZ</v>
      </c>
      <c r="E218" t="str">
        <f>[1]!f_info_trackindexname(A218)</f>
        <v>中证煤炭</v>
      </c>
    </row>
    <row r="219" spans="1:5" x14ac:dyDescent="0.35">
      <c r="A219" t="s">
        <v>93</v>
      </c>
      <c r="B219" t="str">
        <f>[1]!f_info_etfornot(A219)</f>
        <v>是</v>
      </c>
      <c r="C219" t="str">
        <f>[1]!s_info_exchmarket(A219)</f>
        <v>上海</v>
      </c>
      <c r="D219" t="str">
        <f>[1]!f_info_trackindexcode(A219)</f>
        <v>931775.CSI</v>
      </c>
      <c r="E219" t="str">
        <f>[1]!f_info_trackindexname(A219)</f>
        <v>中证全指房地产</v>
      </c>
    </row>
    <row r="220" spans="1:5" x14ac:dyDescent="0.35">
      <c r="A220" t="s">
        <v>455</v>
      </c>
      <c r="B220" t="str">
        <f>[1]!f_info_etfornot(A220)</f>
        <v>是</v>
      </c>
      <c r="C220" t="str">
        <f>[1]!s_info_exchmarket(A220)</f>
        <v>上海</v>
      </c>
      <c r="D220" t="str">
        <f>[1]!f_info_trackindexcode(A220)</f>
        <v>931775.CSI</v>
      </c>
      <c r="E220" t="str">
        <f>[1]!f_info_trackindexname(A220)</f>
        <v>中证全指房地产</v>
      </c>
    </row>
    <row r="221" spans="1:5" x14ac:dyDescent="0.35">
      <c r="A221" t="s">
        <v>456</v>
      </c>
      <c r="B221" t="str">
        <f>[1]!f_info_etfornot(A221)</f>
        <v>是</v>
      </c>
      <c r="C221" t="str">
        <f>[1]!s_info_exchmarket(A221)</f>
        <v>上海</v>
      </c>
      <c r="D221" t="str">
        <f>[1]!f_info_trackindexcode(A221)</f>
        <v>h30199.CSI</v>
      </c>
      <c r="E221" t="str">
        <f>[1]!f_info_trackindexname(A221)</f>
        <v>电力指数</v>
      </c>
    </row>
    <row r="222" spans="1:5" x14ac:dyDescent="0.35">
      <c r="A222" t="s">
        <v>98</v>
      </c>
      <c r="B222" t="str">
        <f>[1]!f_info_etfornot(A222)</f>
        <v>是</v>
      </c>
      <c r="C222" t="str">
        <f>[1]!s_info_exchmarket(A222)</f>
        <v>深圳</v>
      </c>
      <c r="D222" t="str">
        <f>[1]!f_info_trackindexcode(A222)</f>
        <v>h30199.CSI</v>
      </c>
      <c r="E222" t="str">
        <f>[1]!f_info_trackindexname(A222)</f>
        <v>电力指数</v>
      </c>
    </row>
    <row r="223" spans="1:5" x14ac:dyDescent="0.35">
      <c r="A223" t="s">
        <v>457</v>
      </c>
      <c r="B223" t="str">
        <f>[1]!f_info_etfornot(A223)</f>
        <v>是</v>
      </c>
      <c r="C223" t="str">
        <f>[1]!s_info_exchmarket(A223)</f>
        <v>上海</v>
      </c>
      <c r="D223" t="str">
        <f>[1]!f_info_trackindexcode(A223)</f>
        <v>h30199.CSI</v>
      </c>
      <c r="E223" t="str">
        <f>[1]!f_info_trackindexname(A223)</f>
        <v>电力指数</v>
      </c>
    </row>
    <row r="224" spans="1:5" x14ac:dyDescent="0.35">
      <c r="A224" t="s">
        <v>458</v>
      </c>
      <c r="B224" t="str">
        <f>[1]!f_info_etfornot(A224)</f>
        <v>是</v>
      </c>
      <c r="C224" t="str">
        <f>[1]!s_info_exchmarket(A224)</f>
        <v>上海</v>
      </c>
      <c r="D224" t="str">
        <f>[1]!f_info_trackindexcode(A224)</f>
        <v>h30199.CSI</v>
      </c>
      <c r="E224" t="str">
        <f>[1]!f_info_trackindexname(A224)</f>
        <v>电力指数</v>
      </c>
    </row>
    <row r="225" spans="1:5" x14ac:dyDescent="0.35">
      <c r="A225" t="s">
        <v>459</v>
      </c>
      <c r="B225" t="str">
        <f>[1]!f_info_etfornot(A225)</f>
        <v>是</v>
      </c>
      <c r="C225" t="str">
        <f>[1]!s_info_exchmarket(A225)</f>
        <v>上海</v>
      </c>
      <c r="D225" t="str">
        <f>[1]!f_info_trackindexcode(A225)</f>
        <v>h30199.CSI</v>
      </c>
      <c r="E225" t="str">
        <f>[1]!f_info_trackindexname(A225)</f>
        <v>电力指数</v>
      </c>
    </row>
    <row r="226" spans="1:5" x14ac:dyDescent="0.35">
      <c r="A226" t="s">
        <v>460</v>
      </c>
      <c r="B226" t="str">
        <f>[1]!f_info_etfornot(A226)</f>
        <v>是</v>
      </c>
      <c r="C226" t="str">
        <f>[1]!s_info_exchmarket(A226)</f>
        <v>深圳</v>
      </c>
      <c r="D226" t="str">
        <f>[1]!f_info_trackindexcode(A226)</f>
        <v>980017.CNI</v>
      </c>
      <c r="E226" t="str">
        <f>[1]!f_info_trackindexname(A226)</f>
        <v>国证芯片(CNI)</v>
      </c>
    </row>
    <row r="227" spans="1:5" x14ac:dyDescent="0.35">
      <c r="A227" t="s">
        <v>461</v>
      </c>
      <c r="B227" t="str">
        <f>[1]!f_info_etfornot(A227)</f>
        <v>是</v>
      </c>
      <c r="C227" t="str">
        <f>[1]!s_info_exchmarket(A227)</f>
        <v>深圳</v>
      </c>
      <c r="D227" t="str">
        <f>[1]!f_info_trackindexcode(A227)</f>
        <v>980017.CNI</v>
      </c>
      <c r="E227" t="str">
        <f>[1]!f_info_trackindexname(A227)</f>
        <v>国证芯片(CNI)</v>
      </c>
    </row>
    <row r="228" spans="1:5" x14ac:dyDescent="0.35">
      <c r="A228" t="s">
        <v>462</v>
      </c>
      <c r="B228" t="str">
        <f>[1]!f_info_etfornot(A228)</f>
        <v>是</v>
      </c>
      <c r="C228" t="str">
        <f>[1]!s_info_exchmarket(A228)</f>
        <v>深圳</v>
      </c>
      <c r="D228" t="str">
        <f>[1]!f_info_trackindexcode(A228)</f>
        <v>980017.CNI</v>
      </c>
      <c r="E228" t="str">
        <f>[1]!f_info_trackindexname(A228)</f>
        <v>国证芯片(CNI)</v>
      </c>
    </row>
    <row r="229" spans="1:5" x14ac:dyDescent="0.35">
      <c r="A229" t="s">
        <v>103</v>
      </c>
      <c r="B229" t="str">
        <f>[1]!f_info_etfornot(A229)</f>
        <v>是</v>
      </c>
      <c r="C229" t="str">
        <f>[1]!s_info_exchmarket(A229)</f>
        <v>深圳</v>
      </c>
      <c r="D229" t="str">
        <f>[1]!f_info_trackindexcode(A229)</f>
        <v>980017.CNI</v>
      </c>
      <c r="E229" t="str">
        <f>[1]!f_info_trackindexname(A229)</f>
        <v>国证芯片(CNI)</v>
      </c>
    </row>
    <row r="230" spans="1:5" x14ac:dyDescent="0.35">
      <c r="A230" t="s">
        <v>463</v>
      </c>
      <c r="B230" t="str">
        <f>[1]!f_info_etfornot(A230)</f>
        <v>是</v>
      </c>
      <c r="C230" t="str">
        <f>[1]!s_info_exchmarket(A230)</f>
        <v>上海</v>
      </c>
      <c r="D230" t="str">
        <f>[1]!f_info_trackindexcode(A230)</f>
        <v>h30590.CSI</v>
      </c>
      <c r="E230" t="str">
        <f>[1]!f_info_trackindexname(A230)</f>
        <v>机器人</v>
      </c>
    </row>
    <row r="231" spans="1:5" x14ac:dyDescent="0.35">
      <c r="A231" t="s">
        <v>464</v>
      </c>
      <c r="B231" t="str">
        <f>[1]!f_info_etfornot(A231)</f>
        <v>是</v>
      </c>
      <c r="C231" t="str">
        <f>[1]!s_info_exchmarket(A231)</f>
        <v>深圳</v>
      </c>
      <c r="D231" t="str">
        <f>[1]!f_info_trackindexcode(A231)</f>
        <v>h30590.CSI</v>
      </c>
      <c r="E231" t="str">
        <f>[1]!f_info_trackindexname(A231)</f>
        <v>机器人</v>
      </c>
    </row>
    <row r="232" spans="1:5" x14ac:dyDescent="0.35">
      <c r="A232" t="s">
        <v>465</v>
      </c>
      <c r="B232" t="str">
        <f>[1]!f_info_etfornot(A232)</f>
        <v>是</v>
      </c>
      <c r="C232" t="str">
        <f>[1]!s_info_exchmarket(A232)</f>
        <v>深圳</v>
      </c>
      <c r="D232" t="str">
        <f>[1]!f_info_trackindexcode(A232)</f>
        <v>h30590.CSI</v>
      </c>
      <c r="E232" t="str">
        <f>[1]!f_info_trackindexname(A232)</f>
        <v>机器人</v>
      </c>
    </row>
    <row r="233" spans="1:5" x14ac:dyDescent="0.35">
      <c r="A233" t="s">
        <v>108</v>
      </c>
      <c r="B233" t="str">
        <f>[1]!f_info_etfornot(A233)</f>
        <v>是</v>
      </c>
      <c r="C233" t="str">
        <f>[1]!s_info_exchmarket(A233)</f>
        <v>上海</v>
      </c>
      <c r="D233" t="str">
        <f>[1]!f_info_trackindexcode(A233)</f>
        <v>h30590.CSI</v>
      </c>
      <c r="E233" t="str">
        <f>[1]!f_info_trackindexname(A233)</f>
        <v>机器人</v>
      </c>
    </row>
    <row r="234" spans="1:5" x14ac:dyDescent="0.35">
      <c r="A234" t="s">
        <v>466</v>
      </c>
      <c r="B234" t="str">
        <f>[1]!f_info_etfornot(A234)</f>
        <v>是</v>
      </c>
      <c r="C234" t="str">
        <f>[1]!s_info_exchmarket(A234)</f>
        <v>深圳</v>
      </c>
      <c r="D234" t="str">
        <f>[1]!f_info_trackindexcode(A234)</f>
        <v>h30590.CSI</v>
      </c>
      <c r="E234" t="str">
        <f>[1]!f_info_trackindexname(A234)</f>
        <v>机器人</v>
      </c>
    </row>
    <row r="235" spans="1:5" x14ac:dyDescent="0.35">
      <c r="A235" t="s">
        <v>467</v>
      </c>
      <c r="B235" t="str">
        <f>[1]!f_info_etfornot(A235)</f>
        <v>是</v>
      </c>
      <c r="C235" t="str">
        <f>[1]!s_info_exchmarket(A235)</f>
        <v>上海</v>
      </c>
      <c r="D235" t="str">
        <f>[1]!f_info_trackindexcode(A235)</f>
        <v>h30590.CSI</v>
      </c>
      <c r="E235" t="str">
        <f>[1]!f_info_trackindexname(A235)</f>
        <v>机器人</v>
      </c>
    </row>
    <row r="236" spans="1:5" x14ac:dyDescent="0.35">
      <c r="A236" t="s">
        <v>468</v>
      </c>
      <c r="B236" t="str">
        <f>[1]!f_info_etfornot(A236)</f>
        <v>是</v>
      </c>
      <c r="C236" t="str">
        <f>[1]!s_info_exchmarket(A236)</f>
        <v>上海</v>
      </c>
      <c r="D236" t="str">
        <f>[1]!f_info_trackindexcode(A236)</f>
        <v>h30590.CSI</v>
      </c>
      <c r="E236" t="str">
        <f>[1]!f_info_trackindexname(A236)</f>
        <v>机器人</v>
      </c>
    </row>
    <row r="237" spans="1:5" x14ac:dyDescent="0.35">
      <c r="A237" t="s">
        <v>469</v>
      </c>
      <c r="B237" t="str">
        <f>[1]!f_info_etfornot(A237)</f>
        <v>是</v>
      </c>
      <c r="C237" t="str">
        <f>[1]!s_info_exchmarket(A237)</f>
        <v>深圳</v>
      </c>
      <c r="D237" t="str">
        <f>[1]!f_info_trackindexcode(A237)</f>
        <v>h30590.CSI</v>
      </c>
      <c r="E237" t="str">
        <f>[1]!f_info_trackindexname(A237)</f>
        <v>机器人</v>
      </c>
    </row>
    <row r="238" spans="1:5" x14ac:dyDescent="0.35">
      <c r="A238" t="s">
        <v>470</v>
      </c>
      <c r="B238" t="str">
        <f>[1]!f_info_etfornot(A238)</f>
        <v>是</v>
      </c>
      <c r="C238" t="str">
        <f>[1]!s_info_exchmarket(A238)</f>
        <v>深圳</v>
      </c>
      <c r="D238" t="str">
        <f>[1]!f_info_trackindexcode(A238)</f>
        <v>h30590.CSI</v>
      </c>
      <c r="E238" t="str">
        <f>[1]!f_info_trackindexname(A238)</f>
        <v>机器人</v>
      </c>
    </row>
    <row r="239" spans="1:5" x14ac:dyDescent="0.35">
      <c r="A239" t="s">
        <v>471</v>
      </c>
      <c r="B239" t="str">
        <f>[1]!f_info_etfornot(A239)</f>
        <v>是</v>
      </c>
      <c r="C239" t="str">
        <f>[1]!s_info_exchmarket(A239)</f>
        <v>深圳</v>
      </c>
      <c r="D239" t="str">
        <f>[1]!f_info_trackindexcode(A239)</f>
        <v>930713.CSI</v>
      </c>
      <c r="E239" t="str">
        <f>[1]!f_info_trackindexname(A239)</f>
        <v>CS人工智</v>
      </c>
    </row>
    <row r="240" spans="1:5" x14ac:dyDescent="0.35">
      <c r="A240" t="s">
        <v>113</v>
      </c>
      <c r="B240" t="str">
        <f>[1]!f_info_etfornot(A240)</f>
        <v>是</v>
      </c>
      <c r="C240" t="str">
        <f>[1]!s_info_exchmarket(A240)</f>
        <v>深圳</v>
      </c>
      <c r="D240" t="str">
        <f>[1]!f_info_trackindexcode(A240)</f>
        <v>930713.CSI</v>
      </c>
      <c r="E240" t="str">
        <f>[1]!f_info_trackindexname(A240)</f>
        <v>CS人工智</v>
      </c>
    </row>
    <row r="241" spans="1:5" x14ac:dyDescent="0.35">
      <c r="A241" t="s">
        <v>472</v>
      </c>
      <c r="B241" t="str">
        <f>[1]!f_info_etfornot(A241)</f>
        <v>是</v>
      </c>
      <c r="C241" t="str">
        <f>[1]!s_info_exchmarket(A241)</f>
        <v>上海</v>
      </c>
      <c r="D241" t="str">
        <f>[1]!f_info_trackindexcode(A241)</f>
        <v>930713.CSI</v>
      </c>
      <c r="E241" t="str">
        <f>[1]!f_info_trackindexname(A241)</f>
        <v>CS人工智</v>
      </c>
    </row>
    <row r="242" spans="1:5" x14ac:dyDescent="0.35">
      <c r="A242" t="s">
        <v>473</v>
      </c>
      <c r="B242" t="str">
        <f>[1]!f_info_etfornot(A242)</f>
        <v>是</v>
      </c>
      <c r="C242" t="str">
        <f>[1]!s_info_exchmarket(A242)</f>
        <v>上海</v>
      </c>
      <c r="D242" t="str">
        <f>[1]!f_info_trackindexcode(A242)</f>
        <v>930713.CSI</v>
      </c>
      <c r="E242" t="str">
        <f>[1]!f_info_trackindexname(A242)</f>
        <v>CS人工智</v>
      </c>
    </row>
    <row r="243" spans="1:5" x14ac:dyDescent="0.35">
      <c r="A243" t="s">
        <v>474</v>
      </c>
      <c r="B243" t="str">
        <f>[1]!f_info_etfornot(A243)</f>
        <v>是</v>
      </c>
      <c r="C243" t="str">
        <f>[1]!s_info_exchmarket(A243)</f>
        <v>深圳</v>
      </c>
      <c r="D243" t="str">
        <f>[1]!f_info_trackindexcode(A243)</f>
        <v>000813.CSI</v>
      </c>
      <c r="E243" t="str">
        <f>[1]!f_info_trackindexname(A243)</f>
        <v>细分化工</v>
      </c>
    </row>
    <row r="244" spans="1:5" x14ac:dyDescent="0.35">
      <c r="A244" t="s">
        <v>475</v>
      </c>
      <c r="B244" t="str">
        <f>[1]!f_info_etfornot(A244)</f>
        <v>是</v>
      </c>
      <c r="C244" t="str">
        <f>[1]!s_info_exchmarket(A244)</f>
        <v>深圳</v>
      </c>
      <c r="D244" t="str">
        <f>[1]!f_info_trackindexcode(A244)</f>
        <v>000813.CSI</v>
      </c>
      <c r="E244" t="str">
        <f>[1]!f_info_trackindexname(A244)</f>
        <v>细分化工</v>
      </c>
    </row>
    <row r="245" spans="1:5" x14ac:dyDescent="0.35">
      <c r="A245" t="s">
        <v>476</v>
      </c>
      <c r="B245" t="str">
        <f>[1]!f_info_etfornot(A245)</f>
        <v>是</v>
      </c>
      <c r="C245" t="str">
        <f>[1]!s_info_exchmarket(A245)</f>
        <v>上海</v>
      </c>
      <c r="D245" t="str">
        <f>[1]!f_info_trackindexcode(A245)</f>
        <v>000813.CSI</v>
      </c>
      <c r="E245" t="str">
        <f>[1]!f_info_trackindexname(A245)</f>
        <v>细分化工</v>
      </c>
    </row>
    <row r="246" spans="1:5" x14ac:dyDescent="0.35">
      <c r="A246" t="s">
        <v>118</v>
      </c>
      <c r="B246" t="str">
        <f>[1]!f_info_etfornot(A246)</f>
        <v>是</v>
      </c>
      <c r="C246" t="str">
        <f>[1]!s_info_exchmarket(A246)</f>
        <v>深圳</v>
      </c>
      <c r="D246" t="str">
        <f>[1]!f_info_trackindexcode(A246)</f>
        <v>000813.CSI</v>
      </c>
      <c r="E246" t="str">
        <f>[1]!f_info_trackindexname(A246)</f>
        <v>细分化工</v>
      </c>
    </row>
    <row r="247" spans="1:5" x14ac:dyDescent="0.35">
      <c r="A247" t="s">
        <v>477</v>
      </c>
      <c r="B247" t="str">
        <f>[1]!f_info_etfornot(A247)</f>
        <v>是</v>
      </c>
      <c r="C247" t="str">
        <f>[1]!s_info_exchmarket(A247)</f>
        <v>上海</v>
      </c>
      <c r="D247" t="str">
        <f>[1]!f_info_trackindexcode(A247)</f>
        <v>000813.CSI</v>
      </c>
      <c r="E247" t="str">
        <f>[1]!f_info_trackindexname(A247)</f>
        <v>细分化工</v>
      </c>
    </row>
    <row r="248" spans="1:5" x14ac:dyDescent="0.35">
      <c r="A248" t="s">
        <v>478</v>
      </c>
      <c r="B248" t="str">
        <f>[1]!f_info_etfornot(A248)</f>
        <v>是</v>
      </c>
      <c r="C248" t="str">
        <f>[1]!s_info_exchmarket(A248)</f>
        <v>上海</v>
      </c>
      <c r="D248" t="str">
        <f>[1]!f_info_trackindexcode(A248)</f>
        <v>000813.CSI</v>
      </c>
      <c r="E248" t="str">
        <f>[1]!f_info_trackindexname(A248)</f>
        <v>细分化工</v>
      </c>
    </row>
    <row r="249" spans="1:5" x14ac:dyDescent="0.35">
      <c r="A249" t="s">
        <v>123</v>
      </c>
      <c r="B249" t="str">
        <f>[1]!f_info_etfornot(A249)</f>
        <v>是</v>
      </c>
      <c r="C249" t="str">
        <f>[1]!s_info_exchmarket(A249)</f>
        <v>上海</v>
      </c>
      <c r="D249" t="str">
        <f>[1]!f_info_trackindexcode(A249)</f>
        <v>h30035.CSI</v>
      </c>
      <c r="E249" t="str">
        <f>[1]!f_info_trackindexname(A249)</f>
        <v>300非银</v>
      </c>
    </row>
    <row r="250" spans="1:5" x14ac:dyDescent="0.35">
      <c r="A250" t="s">
        <v>479</v>
      </c>
      <c r="B250" t="str">
        <f>[1]!f_info_etfornot(A250)</f>
        <v>是</v>
      </c>
      <c r="C250" t="str">
        <f>[1]!s_info_exchmarket(A250)</f>
        <v>深圳</v>
      </c>
      <c r="D250" t="str">
        <f>[1]!f_info_trackindexcode(A250)</f>
        <v>980032.CNI</v>
      </c>
      <c r="E250" t="str">
        <f>[1]!f_info_trackindexname(A250)</f>
        <v>新能电池</v>
      </c>
    </row>
    <row r="251" spans="1:5" x14ac:dyDescent="0.35">
      <c r="A251" t="s">
        <v>480</v>
      </c>
      <c r="B251" t="str">
        <f>[1]!f_info_etfornot(A251)</f>
        <v>是</v>
      </c>
      <c r="C251" t="str">
        <f>[1]!s_info_exchmarket(A251)</f>
        <v>深圳</v>
      </c>
      <c r="D251" t="str">
        <f>[1]!f_info_trackindexcode(A251)</f>
        <v>980032.CNI</v>
      </c>
      <c r="E251" t="str">
        <f>[1]!f_info_trackindexname(A251)</f>
        <v>新能电池</v>
      </c>
    </row>
    <row r="252" spans="1:5" x14ac:dyDescent="0.35">
      <c r="A252" t="s">
        <v>128</v>
      </c>
      <c r="B252" t="str">
        <f>[1]!f_info_etfornot(A252)</f>
        <v>是</v>
      </c>
      <c r="C252" t="str">
        <f>[1]!s_info_exchmarket(A252)</f>
        <v>深圳</v>
      </c>
      <c r="D252" t="str">
        <f>[1]!f_info_trackindexcode(A252)</f>
        <v>980032.CNI</v>
      </c>
      <c r="E252" t="str">
        <f>[1]!f_info_trackindexname(A252)</f>
        <v>新能电池</v>
      </c>
    </row>
    <row r="253" spans="1:5" x14ac:dyDescent="0.35">
      <c r="A253" t="s">
        <v>481</v>
      </c>
      <c r="B253" t="str">
        <f>[1]!f_info_etfornot(A253)</f>
        <v>是</v>
      </c>
      <c r="C253" t="str">
        <f>[1]!s_info_exchmarket(A253)</f>
        <v>深圳</v>
      </c>
      <c r="D253" t="str">
        <f>[1]!f_info_trackindexcode(A253)</f>
        <v>980032.CNI</v>
      </c>
      <c r="E253" t="str">
        <f>[1]!f_info_trackindexname(A253)</f>
        <v>新能电池</v>
      </c>
    </row>
    <row r="254" spans="1:5" x14ac:dyDescent="0.35">
      <c r="A254" t="s">
        <v>482</v>
      </c>
      <c r="B254" t="str">
        <f>[1]!f_info_etfornot(A254)</f>
        <v>是</v>
      </c>
      <c r="C254" t="str">
        <f>[1]!s_info_exchmarket(A254)</f>
        <v>深圳</v>
      </c>
      <c r="D254" t="str">
        <f>[1]!f_info_trackindexcode(A254)</f>
        <v>980032.CNI</v>
      </c>
      <c r="E254" t="str">
        <f>[1]!f_info_trackindexname(A254)</f>
        <v>新能电池</v>
      </c>
    </row>
    <row r="255" spans="1:5" x14ac:dyDescent="0.35">
      <c r="A255" t="s">
        <v>483</v>
      </c>
      <c r="B255" t="str">
        <f>[1]!f_info_etfornot(A255)</f>
        <v>是</v>
      </c>
      <c r="C255" t="str">
        <f>[1]!s_info_exchmarket(A255)</f>
        <v>上海</v>
      </c>
      <c r="D255" t="str">
        <f>[1]!f_info_trackindexcode(A255)</f>
        <v>931151.CSI</v>
      </c>
      <c r="E255" t="str">
        <f>[1]!f_info_trackindexname(A255)</f>
        <v>光伏产业</v>
      </c>
    </row>
    <row r="256" spans="1:5" x14ac:dyDescent="0.35">
      <c r="A256" t="s">
        <v>484</v>
      </c>
      <c r="B256" t="str">
        <f>[1]!f_info_etfornot(A256)</f>
        <v>是</v>
      </c>
      <c r="C256" t="str">
        <f>[1]!s_info_exchmarket(A256)</f>
        <v>上海</v>
      </c>
      <c r="D256" t="str">
        <f>[1]!f_info_trackindexcode(A256)</f>
        <v>931151.CSI</v>
      </c>
      <c r="E256" t="str">
        <f>[1]!f_info_trackindexname(A256)</f>
        <v>光伏产业</v>
      </c>
    </row>
    <row r="257" spans="1:5" x14ac:dyDescent="0.35">
      <c r="A257" t="s">
        <v>485</v>
      </c>
      <c r="B257" t="str">
        <f>[1]!f_info_etfornot(A257)</f>
        <v>是</v>
      </c>
      <c r="C257" t="str">
        <f>[1]!s_info_exchmarket(A257)</f>
        <v>深圳</v>
      </c>
      <c r="D257" t="str">
        <f>[1]!f_info_trackindexcode(A257)</f>
        <v>931151.CSI</v>
      </c>
      <c r="E257" t="str">
        <f>[1]!f_info_trackindexname(A257)</f>
        <v>光伏产业</v>
      </c>
    </row>
    <row r="258" spans="1:5" x14ac:dyDescent="0.35">
      <c r="A258" t="s">
        <v>486</v>
      </c>
      <c r="B258" t="str">
        <f>[1]!f_info_etfornot(A258)</f>
        <v>是</v>
      </c>
      <c r="C258" t="str">
        <f>[1]!s_info_exchmarket(A258)</f>
        <v>深圳</v>
      </c>
      <c r="D258" t="str">
        <f>[1]!f_info_trackindexcode(A258)</f>
        <v>931151.CSI</v>
      </c>
      <c r="E258" t="str">
        <f>[1]!f_info_trackindexname(A258)</f>
        <v>光伏产业</v>
      </c>
    </row>
    <row r="259" spans="1:5" x14ac:dyDescent="0.35">
      <c r="A259" t="s">
        <v>487</v>
      </c>
      <c r="B259" t="str">
        <f>[1]!f_info_etfornot(A259)</f>
        <v>是</v>
      </c>
      <c r="C259" t="str">
        <f>[1]!s_info_exchmarket(A259)</f>
        <v>深圳</v>
      </c>
      <c r="D259" t="str">
        <f>[1]!f_info_trackindexcode(A259)</f>
        <v>931151.CSI</v>
      </c>
      <c r="E259" t="str">
        <f>[1]!f_info_trackindexname(A259)</f>
        <v>光伏产业</v>
      </c>
    </row>
    <row r="260" spans="1:5" x14ac:dyDescent="0.35">
      <c r="A260" t="s">
        <v>488</v>
      </c>
      <c r="B260" t="str">
        <f>[1]!f_info_etfornot(A260)</f>
        <v>是</v>
      </c>
      <c r="C260" t="str">
        <f>[1]!s_info_exchmarket(A260)</f>
        <v>香港联交所</v>
      </c>
      <c r="D260" t="str">
        <f>[1]!f_info_trackindexcode(A260)</f>
        <v>931151.CSI</v>
      </c>
      <c r="E260" t="str">
        <f>[1]!f_info_trackindexname(A260)</f>
        <v>光伏产业</v>
      </c>
    </row>
    <row r="261" spans="1:5" x14ac:dyDescent="0.35">
      <c r="A261" t="s">
        <v>489</v>
      </c>
      <c r="B261" t="str">
        <f>[1]!f_info_etfornot(A261)</f>
        <v>是</v>
      </c>
      <c r="C261" t="str">
        <f>[1]!s_info_exchmarket(A261)</f>
        <v>上海</v>
      </c>
      <c r="D261" t="str">
        <f>[1]!f_info_trackindexcode(A261)</f>
        <v>931151.CSI</v>
      </c>
      <c r="E261" t="str">
        <f>[1]!f_info_trackindexname(A261)</f>
        <v>光伏产业</v>
      </c>
    </row>
    <row r="262" spans="1:5" x14ac:dyDescent="0.35">
      <c r="A262" t="s">
        <v>490</v>
      </c>
      <c r="B262" t="str">
        <f>[1]!f_info_etfornot(A262)</f>
        <v>是</v>
      </c>
      <c r="C262" t="str">
        <f>[1]!s_info_exchmarket(A262)</f>
        <v>深圳</v>
      </c>
      <c r="D262" t="str">
        <f>[1]!f_info_trackindexcode(A262)</f>
        <v>931151.CSI</v>
      </c>
      <c r="E262" t="str">
        <f>[1]!f_info_trackindexname(A262)</f>
        <v>光伏产业</v>
      </c>
    </row>
    <row r="263" spans="1:5" x14ac:dyDescent="0.35">
      <c r="A263" t="s">
        <v>491</v>
      </c>
      <c r="B263" t="str">
        <f>[1]!f_info_etfornot(A263)</f>
        <v>是</v>
      </c>
      <c r="C263" t="str">
        <f>[1]!s_info_exchmarket(A263)</f>
        <v>上海</v>
      </c>
      <c r="D263" t="str">
        <f>[1]!f_info_trackindexcode(A263)</f>
        <v>931151.CSI</v>
      </c>
      <c r="E263" t="str">
        <f>[1]!f_info_trackindexname(A263)</f>
        <v>光伏产业</v>
      </c>
    </row>
    <row r="264" spans="1:5" x14ac:dyDescent="0.35">
      <c r="A264" t="s">
        <v>492</v>
      </c>
      <c r="B264" t="str">
        <f>[1]!f_info_etfornot(A264)</f>
        <v>是</v>
      </c>
      <c r="C264" t="str">
        <f>[1]!s_info_exchmarket(A264)</f>
        <v>上海</v>
      </c>
      <c r="D264" t="str">
        <f>[1]!f_info_trackindexcode(A264)</f>
        <v>931151.CSI</v>
      </c>
      <c r="E264" t="str">
        <f>[1]!f_info_trackindexname(A264)</f>
        <v>光伏产业</v>
      </c>
    </row>
    <row r="265" spans="1:5" x14ac:dyDescent="0.35">
      <c r="A265" t="s">
        <v>493</v>
      </c>
      <c r="B265" t="str">
        <f>[1]!f_info_etfornot(A265)</f>
        <v>是</v>
      </c>
      <c r="C265" t="str">
        <f>[1]!s_info_exchmarket(A265)</f>
        <v>深圳</v>
      </c>
      <c r="D265" t="str">
        <f>[1]!f_info_trackindexcode(A265)</f>
        <v>931151.CSI</v>
      </c>
      <c r="E265" t="str">
        <f>[1]!f_info_trackindexname(A265)</f>
        <v>光伏产业</v>
      </c>
    </row>
    <row r="266" spans="1:5" x14ac:dyDescent="0.35">
      <c r="A266" t="s">
        <v>133</v>
      </c>
      <c r="B266" t="str">
        <f>[1]!f_info_etfornot(A266)</f>
        <v>是</v>
      </c>
      <c r="C266" t="str">
        <f>[1]!s_info_exchmarket(A266)</f>
        <v>上海</v>
      </c>
      <c r="D266" t="str">
        <f>[1]!f_info_trackindexcode(A266)</f>
        <v>931151.CSI</v>
      </c>
      <c r="E266" t="str">
        <f>[1]!f_info_trackindexname(A266)</f>
        <v>光伏产业</v>
      </c>
    </row>
    <row r="267" spans="1:5" x14ac:dyDescent="0.35">
      <c r="A267" t="s">
        <v>494</v>
      </c>
      <c r="B267" t="str">
        <f>[1]!f_info_etfornot(A267)</f>
        <v>是</v>
      </c>
      <c r="C267" t="str">
        <f>[1]!s_info_exchmarket(A267)</f>
        <v>深圳</v>
      </c>
      <c r="D267" t="str">
        <f>[1]!f_info_trackindexcode(A267)</f>
        <v>931151.CSI</v>
      </c>
      <c r="E267" t="str">
        <f>[1]!f_info_trackindexname(A267)</f>
        <v>光伏产业</v>
      </c>
    </row>
    <row r="268" spans="1:5" x14ac:dyDescent="0.35">
      <c r="A268" t="s">
        <v>495</v>
      </c>
      <c r="B268" t="str">
        <f>[1]!f_info_etfornot(A268)</f>
        <v>是</v>
      </c>
      <c r="C268" t="str">
        <f>[1]!s_info_exchmarket(A268)</f>
        <v>深圳</v>
      </c>
      <c r="D268" t="str">
        <f>[1]!f_info_trackindexcode(A268)</f>
        <v>931152.CSI</v>
      </c>
      <c r="E268" t="str">
        <f>[1]!f_info_trackindexname(A268)</f>
        <v>CS创新药</v>
      </c>
    </row>
    <row r="269" spans="1:5" x14ac:dyDescent="0.35">
      <c r="A269" t="s">
        <v>496</v>
      </c>
      <c r="B269" t="str">
        <f>[1]!f_info_etfornot(A269)</f>
        <v>是</v>
      </c>
      <c r="C269" t="str">
        <f>[1]!s_info_exchmarket(A269)</f>
        <v>上海</v>
      </c>
      <c r="D269" t="str">
        <f>[1]!f_info_trackindexcode(A269)</f>
        <v>931152.CSI</v>
      </c>
      <c r="E269" t="str">
        <f>[1]!f_info_trackindexname(A269)</f>
        <v>CS创新药</v>
      </c>
    </row>
    <row r="270" spans="1:5" x14ac:dyDescent="0.35">
      <c r="A270" t="s">
        <v>497</v>
      </c>
      <c r="B270" t="str">
        <f>[1]!f_info_etfornot(A270)</f>
        <v>是</v>
      </c>
      <c r="C270" t="str">
        <f>[1]!s_info_exchmarket(A270)</f>
        <v>上海</v>
      </c>
      <c r="D270" t="str">
        <f>[1]!f_info_trackindexcode(A270)</f>
        <v>931152.CSI</v>
      </c>
      <c r="E270" t="str">
        <f>[1]!f_info_trackindexname(A270)</f>
        <v>CS创新药</v>
      </c>
    </row>
    <row r="271" spans="1:5" x14ac:dyDescent="0.35">
      <c r="A271" t="s">
        <v>498</v>
      </c>
      <c r="B271" t="str">
        <f>[1]!f_info_etfornot(A271)</f>
        <v>是</v>
      </c>
      <c r="C271" t="str">
        <f>[1]!s_info_exchmarket(A271)</f>
        <v>深圳</v>
      </c>
      <c r="D271" t="str">
        <f>[1]!f_info_trackindexcode(A271)</f>
        <v>931152.CSI</v>
      </c>
      <c r="E271" t="str">
        <f>[1]!f_info_trackindexname(A271)</f>
        <v>CS创新药</v>
      </c>
    </row>
    <row r="272" spans="1:5" x14ac:dyDescent="0.35">
      <c r="A272" t="s">
        <v>499</v>
      </c>
      <c r="B272" t="str">
        <f>[1]!f_info_etfornot(A272)</f>
        <v>是</v>
      </c>
      <c r="C272" t="str">
        <f>[1]!s_info_exchmarket(A272)</f>
        <v>上海</v>
      </c>
      <c r="D272" t="str">
        <f>[1]!f_info_trackindexcode(A272)</f>
        <v>931152.CSI</v>
      </c>
      <c r="E272" t="str">
        <f>[1]!f_info_trackindexname(A272)</f>
        <v>CS创新药</v>
      </c>
    </row>
    <row r="273" spans="1:5" x14ac:dyDescent="0.35">
      <c r="A273" t="s">
        <v>138</v>
      </c>
      <c r="B273" t="str">
        <f>[1]!f_info_etfornot(A273)</f>
        <v>是</v>
      </c>
      <c r="C273" t="str">
        <f>[1]!s_info_exchmarket(A273)</f>
        <v>深圳</v>
      </c>
      <c r="D273" t="str">
        <f>[1]!f_info_trackindexcode(A273)</f>
        <v>931152.CSI</v>
      </c>
      <c r="E273" t="str">
        <f>[1]!f_info_trackindexname(A273)</f>
        <v>CS创新药</v>
      </c>
    </row>
    <row r="274" spans="1:5" x14ac:dyDescent="0.35">
      <c r="A274" t="s">
        <v>500</v>
      </c>
      <c r="B274" t="str">
        <f>[1]!f_info_etfornot(A274)</f>
        <v>是</v>
      </c>
      <c r="C274" t="str">
        <f>[1]!s_info_exchmarket(A274)</f>
        <v>上海</v>
      </c>
      <c r="D274" t="str">
        <f>[1]!f_info_trackindexcode(A274)</f>
        <v>931152.CSI</v>
      </c>
      <c r="E274" t="str">
        <f>[1]!f_info_trackindexname(A274)</f>
        <v>CS创新药</v>
      </c>
    </row>
    <row r="275" spans="1:5" x14ac:dyDescent="0.35">
      <c r="A275" t="s">
        <v>143</v>
      </c>
      <c r="B275" t="str">
        <f>[1]!f_info_etfornot(A275)</f>
        <v>是</v>
      </c>
      <c r="C275" t="str">
        <f>[1]!s_info_exchmarket(A275)</f>
        <v>上海</v>
      </c>
      <c r="D275" t="str">
        <f>[1]!f_info_trackindexcode(A275)</f>
        <v>931160.CSI</v>
      </c>
      <c r="E275" t="str">
        <f>[1]!f_info_trackindexname(A275)</f>
        <v>通信设备</v>
      </c>
    </row>
    <row r="276" spans="1:5" x14ac:dyDescent="0.35">
      <c r="A276" t="s">
        <v>148</v>
      </c>
      <c r="B276" t="str">
        <f>[1]!f_info_etfornot(A276)</f>
        <v>是</v>
      </c>
      <c r="C276" t="str">
        <f>[1]!s_info_exchmarket(A276)</f>
        <v>深圳</v>
      </c>
      <c r="D276" t="str">
        <f>[1]!f_info_trackindexcode(A276)</f>
        <v>930901.CSI</v>
      </c>
      <c r="E276" t="str">
        <f>[1]!f_info_trackindexname(A276)</f>
        <v>动漫游戏</v>
      </c>
    </row>
    <row r="277" spans="1:5" x14ac:dyDescent="0.35">
      <c r="A277" t="s">
        <v>501</v>
      </c>
      <c r="B277" t="str">
        <f>[1]!f_info_etfornot(A277)</f>
        <v>是</v>
      </c>
      <c r="C277" t="str">
        <f>[1]!s_info_exchmarket(A277)</f>
        <v>上海</v>
      </c>
      <c r="D277" t="str">
        <f>[1]!f_info_trackindexcode(A277)</f>
        <v>930901.CSI</v>
      </c>
      <c r="E277" t="str">
        <f>[1]!f_info_trackindexname(A277)</f>
        <v>动漫游戏</v>
      </c>
    </row>
    <row r="278" spans="1:5" x14ac:dyDescent="0.35">
      <c r="A278" t="s">
        <v>502</v>
      </c>
      <c r="B278" t="str">
        <f>[1]!f_info_etfornot(A278)</f>
        <v>是</v>
      </c>
      <c r="C278" t="str">
        <f>[1]!s_info_exchmarket(A278)</f>
        <v>上海</v>
      </c>
      <c r="D278" t="str">
        <f>[1]!f_info_trackindexcode(A278)</f>
        <v>930901.CSI</v>
      </c>
      <c r="E278" t="str">
        <f>[1]!f_info_trackindexname(A278)</f>
        <v>动漫游戏</v>
      </c>
    </row>
    <row r="279" spans="1:5" x14ac:dyDescent="0.35">
      <c r="A279" t="s">
        <v>503</v>
      </c>
      <c r="B279" t="str">
        <f>[1]!f_info_etfornot(A279)</f>
        <v>是</v>
      </c>
      <c r="C279" t="str">
        <f>[1]!s_info_exchmarket(A279)</f>
        <v>上海</v>
      </c>
      <c r="D279" t="str">
        <f>[1]!f_info_trackindexcode(A279)</f>
        <v>930986.CSI</v>
      </c>
      <c r="E279" t="str">
        <f>[1]!f_info_trackindexname(A279)</f>
        <v>金融科技</v>
      </c>
    </row>
    <row r="280" spans="1:5" x14ac:dyDescent="0.35">
      <c r="A280" t="s">
        <v>504</v>
      </c>
      <c r="B280" t="str">
        <f>[1]!f_info_etfornot(A280)</f>
        <v>是</v>
      </c>
      <c r="C280" t="str">
        <f>[1]!s_info_exchmarket(A280)</f>
        <v>上海</v>
      </c>
      <c r="D280" t="str">
        <f>[1]!f_info_trackindexcode(A280)</f>
        <v>930986.CSI</v>
      </c>
      <c r="E280" t="str">
        <f>[1]!f_info_trackindexname(A280)</f>
        <v>金融科技</v>
      </c>
    </row>
    <row r="281" spans="1:5" x14ac:dyDescent="0.35">
      <c r="A281" t="s">
        <v>505</v>
      </c>
      <c r="B281" t="str">
        <f>[1]!f_info_etfornot(A281)</f>
        <v>是</v>
      </c>
      <c r="C281" t="str">
        <f>[1]!s_info_exchmarket(A281)</f>
        <v>上海</v>
      </c>
      <c r="D281" t="str">
        <f>[1]!f_info_trackindexcode(A281)</f>
        <v>930986.CSI</v>
      </c>
      <c r="E281" t="str">
        <f>[1]!f_info_trackindexname(A281)</f>
        <v>金融科技</v>
      </c>
    </row>
    <row r="282" spans="1:5" x14ac:dyDescent="0.35">
      <c r="A282" t="s">
        <v>506</v>
      </c>
      <c r="B282" t="str">
        <f>[1]!f_info_etfornot(A282)</f>
        <v>是</v>
      </c>
      <c r="C282" t="str">
        <f>[1]!s_info_exchmarket(A282)</f>
        <v>深圳</v>
      </c>
      <c r="D282" t="str">
        <f>[1]!f_info_trackindexcode(A282)</f>
        <v>930986.CSI</v>
      </c>
      <c r="E282" t="str">
        <f>[1]!f_info_trackindexname(A282)</f>
        <v>金融科技</v>
      </c>
    </row>
    <row r="283" spans="1:5" x14ac:dyDescent="0.35">
      <c r="A283" t="s">
        <v>507</v>
      </c>
      <c r="B283" t="str">
        <f>[1]!f_info_etfornot(A283)</f>
        <v>是</v>
      </c>
      <c r="C283" t="str">
        <f>[1]!s_info_exchmarket(A283)</f>
        <v>上海</v>
      </c>
      <c r="D283" t="str">
        <f>[1]!f_info_trackindexcode(A283)</f>
        <v>930986.CSI</v>
      </c>
      <c r="E283" t="str">
        <f>[1]!f_info_trackindexname(A283)</f>
        <v>金融科技</v>
      </c>
    </row>
    <row r="284" spans="1:5" x14ac:dyDescent="0.35">
      <c r="A284" t="s">
        <v>508</v>
      </c>
      <c r="B284" t="str">
        <f>[1]!f_info_etfornot(A284)</f>
        <v>是</v>
      </c>
      <c r="C284" t="str">
        <f>[1]!s_info_exchmarket(A284)</f>
        <v>深圳</v>
      </c>
      <c r="D284" t="str">
        <f>[1]!f_info_trackindexcode(A284)</f>
        <v>930986.CSI</v>
      </c>
      <c r="E284" t="str">
        <f>[1]!f_info_trackindexname(A284)</f>
        <v>金融科技</v>
      </c>
    </row>
    <row r="285" spans="1:5" x14ac:dyDescent="0.35">
      <c r="A285" t="s">
        <v>509</v>
      </c>
      <c r="B285" t="str">
        <f>[1]!f_info_etfornot(A285)</f>
        <v>是</v>
      </c>
      <c r="C285" t="str">
        <f>[1]!s_info_exchmarket(A285)</f>
        <v>上海</v>
      </c>
      <c r="D285" t="str">
        <f>[1]!f_info_trackindexcode(A285)</f>
        <v>930986.CSI</v>
      </c>
      <c r="E285" t="str">
        <f>[1]!f_info_trackindexname(A285)</f>
        <v>金融科技</v>
      </c>
    </row>
    <row r="286" spans="1:5" x14ac:dyDescent="0.35">
      <c r="A286" t="s">
        <v>153</v>
      </c>
      <c r="B286" t="str">
        <f>[1]!f_info_etfornot(A286)</f>
        <v>是</v>
      </c>
      <c r="C286" t="str">
        <f>[1]!s_info_exchmarket(A286)</f>
        <v>深圳</v>
      </c>
      <c r="D286" t="str">
        <f>[1]!f_info_trackindexcode(A286)</f>
        <v>930986.CSI</v>
      </c>
      <c r="E286" t="str">
        <f>[1]!f_info_trackindexname(A286)</f>
        <v>金融科技</v>
      </c>
    </row>
    <row r="287" spans="1:5" x14ac:dyDescent="0.35">
      <c r="A287" t="s">
        <v>158</v>
      </c>
      <c r="B287" t="str">
        <f>[1]!f_info_etfornot(A287)</f>
        <v>是</v>
      </c>
      <c r="C287" t="str">
        <f>[1]!s_info_exchmarket(A287)</f>
        <v>上海</v>
      </c>
      <c r="D287" t="str">
        <f>[1]!f_info_trackindexcode(A287)</f>
        <v>000140.SH</v>
      </c>
      <c r="E287" t="str">
        <f>[1]!f_info_trackindexname(A287)</f>
        <v>上证5年国债</v>
      </c>
    </row>
    <row r="288" spans="1:5" x14ac:dyDescent="0.35">
      <c r="A288" t="s">
        <v>163</v>
      </c>
      <c r="B288" t="str">
        <f>[1]!f_info_etfornot(A288)</f>
        <v>是</v>
      </c>
      <c r="C288" t="str">
        <f>[1]!s_info_exchmarket(A288)</f>
        <v>上海</v>
      </c>
      <c r="D288" t="str">
        <f>[1]!f_info_trackindexcode(A288)</f>
        <v>h01077.SH</v>
      </c>
      <c r="E288" t="str">
        <f>[1]!f_info_trackindexname(A288)</f>
        <v>上证10年国债(净)</v>
      </c>
    </row>
    <row r="289" spans="1:5" x14ac:dyDescent="0.35">
      <c r="A289" t="s">
        <v>167</v>
      </c>
      <c r="B289" t="str">
        <f>[1]!f_info_etfornot(A289)</f>
        <v>是</v>
      </c>
      <c r="C289" t="str">
        <f>[1]!s_info_exchmarket(A289)</f>
        <v>上海</v>
      </c>
      <c r="D289" t="str">
        <f>[1]!f_info_trackindexcode(A289)</f>
        <v>CBA21801.CS</v>
      </c>
      <c r="E289" t="str">
        <f>[1]!f_info_trackindexname(A289)</f>
        <v>中债-30年期国债财富(总值)指数</v>
      </c>
    </row>
    <row r="290" spans="1:5" x14ac:dyDescent="0.35">
      <c r="A290" t="s">
        <v>171</v>
      </c>
      <c r="B290" t="str">
        <f>[1]!f_info_etfornot(A290)</f>
        <v>是</v>
      </c>
      <c r="C290" t="str">
        <f>[1]!s_info_exchmarket(A290)</f>
        <v>上海</v>
      </c>
      <c r="D290" t="str">
        <f>[1]!f_info_trackindexcode(A290)</f>
        <v>h11098.SH</v>
      </c>
      <c r="E290" t="str">
        <f>[1]!f_info_trackindexname(A290)</f>
        <v>沪城投债</v>
      </c>
    </row>
    <row r="291" spans="1:5" x14ac:dyDescent="0.35">
      <c r="A291" t="s">
        <v>175</v>
      </c>
      <c r="B291" t="str">
        <f>[1]!f_info_etfornot(A291)</f>
        <v>是</v>
      </c>
      <c r="C291" t="str">
        <f>[1]!s_info_exchmarket(A291)</f>
        <v>上海</v>
      </c>
      <c r="D291" t="str">
        <f>[1]!f_info_trackindexcode(A291)</f>
        <v>CBC00702.CS</v>
      </c>
      <c r="E291" t="str">
        <f>[1]!f_info_trackindexname(A291)</f>
        <v>中债-中高等级公司债利差因子净价(总值)指数</v>
      </c>
    </row>
    <row r="292" spans="1:5" x14ac:dyDescent="0.35">
      <c r="A292" t="s">
        <v>510</v>
      </c>
      <c r="B292" t="str">
        <f>[1]!f_info_etfornot(A292)</f>
        <v>是</v>
      </c>
      <c r="C292" t="str">
        <f>[1]!s_info_exchmarket(A292)</f>
        <v>上海</v>
      </c>
      <c r="D292" t="str">
        <f>[1]!f_info_trackindexcode(A292)</f>
        <v>950245.CSI</v>
      </c>
      <c r="E292" t="str">
        <f>[1]!f_info_trackindexname(A292)</f>
        <v>沪做市公司债</v>
      </c>
    </row>
    <row r="293" spans="1:5" x14ac:dyDescent="0.35">
      <c r="A293" t="s">
        <v>179</v>
      </c>
      <c r="B293" t="str">
        <f>[1]!f_info_etfornot(A293)</f>
        <v>是</v>
      </c>
      <c r="C293" t="str">
        <f>[1]!s_info_exchmarket(A293)</f>
        <v>上海</v>
      </c>
      <c r="D293" t="str">
        <f>[1]!f_info_trackindexcode(A293)</f>
        <v>950245.CSI</v>
      </c>
      <c r="E293" t="str">
        <f>[1]!f_info_trackindexname(A293)</f>
        <v>沪做市公司债</v>
      </c>
    </row>
    <row r="294" spans="1:5" x14ac:dyDescent="0.35">
      <c r="A294" t="s">
        <v>511</v>
      </c>
      <c r="B294" t="str">
        <f>[1]!f_info_etfornot(A294)</f>
        <v>是</v>
      </c>
      <c r="C294" t="str">
        <f>[1]!s_info_exchmarket(A294)</f>
        <v>上海</v>
      </c>
      <c r="D294" t="str">
        <f>[1]!f_info_trackindexcode(A294)</f>
        <v>950245.CSI</v>
      </c>
      <c r="E294" t="str">
        <f>[1]!f_info_trackindexname(A294)</f>
        <v>沪做市公司债</v>
      </c>
    </row>
    <row r="295" spans="1:5" x14ac:dyDescent="0.35">
      <c r="A295" t="s">
        <v>512</v>
      </c>
      <c r="B295" t="str">
        <f>[1]!f_info_etfornot(A295)</f>
        <v>是</v>
      </c>
      <c r="C295" t="str">
        <f>[1]!s_info_exchmarket(A295)</f>
        <v>上海</v>
      </c>
      <c r="D295" t="str">
        <f>[1]!f_info_trackindexcode(A295)</f>
        <v>950245.CSI</v>
      </c>
      <c r="E295" t="str">
        <f>[1]!f_info_trackindexname(A295)</f>
        <v>沪做市公司债</v>
      </c>
    </row>
    <row r="296" spans="1:5" x14ac:dyDescent="0.35">
      <c r="A296" t="s">
        <v>184</v>
      </c>
      <c r="B296" t="str">
        <f>[1]!f_info_etfornot(A296)</f>
        <v>是</v>
      </c>
      <c r="C296" t="str">
        <f>[1]!s_info_exchmarket(A296)</f>
        <v>上海</v>
      </c>
      <c r="D296" t="str">
        <f>[1]!f_info_trackindexcode(A296)</f>
        <v>931078.CSI</v>
      </c>
      <c r="E296" t="str">
        <f>[1]!f_info_trackindexname(A296)</f>
        <v>中证转债及可交换债</v>
      </c>
    </row>
    <row r="297" spans="1:5" x14ac:dyDescent="0.35">
      <c r="A297" t="s">
        <v>188</v>
      </c>
      <c r="B297" t="str">
        <f>[1]!f_info_etfornot(A297)</f>
        <v>是</v>
      </c>
      <c r="C297" t="str">
        <f>[1]!s_info_exchmarket(A297)</f>
        <v>深圳</v>
      </c>
      <c r="D297" t="str">
        <f>[1]!f_info_trackindexcode(A297)</f>
        <v>IMCI.SHF</v>
      </c>
      <c r="E297" t="str">
        <f>[1]!f_info_trackindexname(A297)</f>
        <v>上期有色金属指数</v>
      </c>
    </row>
    <row r="298" spans="1:5" x14ac:dyDescent="0.35">
      <c r="A298" t="s">
        <v>194</v>
      </c>
      <c r="B298" t="str">
        <f>[1]!f_info_etfornot(A298)</f>
        <v>是</v>
      </c>
      <c r="C298" t="str">
        <f>[1]!s_info_exchmarket(A298)</f>
        <v>深圳</v>
      </c>
      <c r="D298" t="str">
        <f>[1]!f_info_trackindexcode(A298)</f>
        <v>DCESMFI.DCE</v>
      </c>
      <c r="E298" t="str">
        <f>[1]!f_info_trackindexname(A298)</f>
        <v>大商所豆粕期货价格指数</v>
      </c>
    </row>
    <row r="299" spans="1:5" x14ac:dyDescent="0.35">
      <c r="A299" t="s">
        <v>199</v>
      </c>
      <c r="B299" t="str">
        <f>[1]!f_info_etfornot(A299)</f>
        <v>是</v>
      </c>
      <c r="C299" t="str">
        <f>[1]!s_info_exchmarket(A299)</f>
        <v>深圳</v>
      </c>
      <c r="D299" t="str">
        <f>[1]!f_info_trackindexcode(A299)</f>
        <v>000201.CZC</v>
      </c>
      <c r="E299" t="str">
        <f>[1]!f_info_trackindexname(A299)</f>
        <v>易盛能化A</v>
      </c>
    </row>
    <row r="300" spans="1:5" x14ac:dyDescent="0.35">
      <c r="A300" t="s">
        <v>513</v>
      </c>
      <c r="B300" t="str">
        <f>[1]!f_info_etfornot(A300)</f>
        <v>是</v>
      </c>
      <c r="C300" t="str">
        <f>[1]!s_info_exchmarket(A300)</f>
        <v>深圳</v>
      </c>
      <c r="D300" t="str">
        <f>[1]!f_info_trackindexcode(A300)</f>
        <v>Au9999.SGE</v>
      </c>
      <c r="E300" t="str">
        <f>[1]!f_info_trackindexname(A300)</f>
        <v>SGE黄金9999</v>
      </c>
    </row>
    <row r="301" spans="1:5" x14ac:dyDescent="0.35">
      <c r="A301" t="s">
        <v>514</v>
      </c>
      <c r="B301" t="str">
        <f>[1]!f_info_etfornot(A301)</f>
        <v>是</v>
      </c>
      <c r="C301" t="str">
        <f>[1]!s_info_exchmarket(A301)</f>
        <v>上海</v>
      </c>
      <c r="D301" t="str">
        <f>[1]!f_info_trackindexcode(A301)</f>
        <v>Au9999.SGE</v>
      </c>
      <c r="E301" t="str">
        <f>[1]!f_info_trackindexname(A301)</f>
        <v>SGE黄金9999</v>
      </c>
    </row>
    <row r="302" spans="1:5" x14ac:dyDescent="0.35">
      <c r="A302" t="s">
        <v>515</v>
      </c>
      <c r="B302" t="str">
        <f>[1]!f_info_etfornot(A302)</f>
        <v>是</v>
      </c>
      <c r="C302" t="str">
        <f>[1]!s_info_exchmarket(A302)</f>
        <v>上海</v>
      </c>
      <c r="D302" t="str">
        <f>[1]!f_info_trackindexcode(A302)</f>
        <v>Au9999.SGE</v>
      </c>
      <c r="E302" t="str">
        <f>[1]!f_info_trackindexname(A302)</f>
        <v>SGE黄金9999</v>
      </c>
    </row>
    <row r="303" spans="1:5" x14ac:dyDescent="0.35">
      <c r="A303" t="s">
        <v>516</v>
      </c>
      <c r="B303" t="str">
        <f>[1]!f_info_etfornot(A303)</f>
        <v>是</v>
      </c>
      <c r="C303" t="str">
        <f>[1]!s_info_exchmarket(A303)</f>
        <v>上海</v>
      </c>
      <c r="D303" t="str">
        <f>[1]!f_info_trackindexcode(A303)</f>
        <v>Au9999.SGE</v>
      </c>
      <c r="E303" t="str">
        <f>[1]!f_info_trackindexname(A303)</f>
        <v>SGE黄金9999</v>
      </c>
    </row>
    <row r="304" spans="1:5" x14ac:dyDescent="0.35">
      <c r="A304" t="s">
        <v>517</v>
      </c>
      <c r="B304" t="str">
        <f>[1]!f_info_etfornot(A304)</f>
        <v>是</v>
      </c>
      <c r="C304" t="str">
        <f>[1]!s_info_exchmarket(A304)</f>
        <v>深圳</v>
      </c>
      <c r="D304" t="str">
        <f>[1]!f_info_trackindexcode(A304)</f>
        <v>Au9999.SGE</v>
      </c>
      <c r="E304" t="str">
        <f>[1]!f_info_trackindexname(A304)</f>
        <v>SGE黄金9999</v>
      </c>
    </row>
    <row r="305" spans="1:5" x14ac:dyDescent="0.35">
      <c r="A305" t="s">
        <v>204</v>
      </c>
      <c r="B305" t="str">
        <f>[1]!f_info_etfornot(A305)</f>
        <v>是</v>
      </c>
      <c r="C305" t="str">
        <f>[1]!s_info_exchmarket(A305)</f>
        <v>上海</v>
      </c>
      <c r="D305" t="str">
        <f>[1]!f_info_trackindexcode(A305)</f>
        <v>Au9999.SGE</v>
      </c>
      <c r="E305" t="str">
        <f>[1]!f_info_trackindexname(A305)</f>
        <v>SGE黄金9999</v>
      </c>
    </row>
    <row r="306" spans="1:5" x14ac:dyDescent="0.35">
      <c r="A306" t="s">
        <v>518</v>
      </c>
      <c r="B306" t="str">
        <f>[1]!f_info_etfornot(A306)</f>
        <v>是</v>
      </c>
      <c r="C306" t="str">
        <f>[1]!s_info_exchmarket(A306)</f>
        <v>深圳</v>
      </c>
      <c r="D306" t="str">
        <f>[1]!f_info_trackindexcode(A306)</f>
        <v>Au9999.SGE</v>
      </c>
      <c r="E306" t="str">
        <f>[1]!f_info_trackindexname(A306)</f>
        <v>SGE黄金9999</v>
      </c>
    </row>
    <row r="307" spans="1:5" x14ac:dyDescent="0.35">
      <c r="A307" t="s">
        <v>210</v>
      </c>
      <c r="B307" t="str">
        <f>[1]!f_info_etfornot(A307)</f>
        <v>是</v>
      </c>
      <c r="C307" t="str">
        <f>[1]!s_info_exchmarket(A307)</f>
        <v>上海</v>
      </c>
      <c r="D307" t="str">
        <f>[1]!f_info_trackindexcode(A307)</f>
        <v>h11014.CSI</v>
      </c>
      <c r="E307" t="str">
        <f>[1]!f_info_trackindexname(A307)</f>
        <v>中证短融</v>
      </c>
    </row>
    <row r="308" spans="1:5" x14ac:dyDescent="0.35">
      <c r="A308" t="s">
        <v>210</v>
      </c>
      <c r="B308" t="str">
        <f>[1]!f_info_etfornot(A308)</f>
        <v>是</v>
      </c>
      <c r="C308" t="str">
        <f>[1]!s_info_exchmarket(A308)</f>
        <v>上海</v>
      </c>
      <c r="D308" t="str">
        <f>[1]!f_info_trackindexcode(A308)</f>
        <v>h11014.CSI</v>
      </c>
      <c r="E308" t="str">
        <f>[1]!f_info_trackindexname(A308)</f>
        <v>中证短融</v>
      </c>
    </row>
  </sheetData>
  <autoFilter ref="A1:C308" xr:uid="{479A90B6-5420-4095-9952-15736D2DF76E}"/>
  <phoneticPr fontId="1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0AAB-0079-4A45-ADA1-A0BDB122020C}">
  <dimension ref="A1:P31"/>
  <sheetViews>
    <sheetView workbookViewId="0">
      <selection activeCell="J2" sqref="J2"/>
    </sheetView>
  </sheetViews>
  <sheetFormatPr defaultRowHeight="14.15" x14ac:dyDescent="0.35"/>
  <cols>
    <col min="4" max="4" width="17.5" customWidth="1"/>
    <col min="6" max="6" width="13.0703125" customWidth="1"/>
    <col min="7" max="8" width="16.35546875" customWidth="1"/>
    <col min="9" max="9" width="13.78515625" customWidth="1"/>
    <col min="10" max="10" width="11.0703125" bestFit="1" customWidth="1"/>
    <col min="12" max="12" width="24.7109375" customWidth="1"/>
    <col min="14" max="14" width="11.0703125" bestFit="1" customWidth="1"/>
  </cols>
  <sheetData>
    <row r="1" spans="1:16" x14ac:dyDescent="0.35">
      <c r="A1" t="s">
        <v>2</v>
      </c>
      <c r="B1" t="s">
        <v>3</v>
      </c>
      <c r="C1" t="s">
        <v>0</v>
      </c>
      <c r="D1" t="s">
        <v>1</v>
      </c>
      <c r="F1" t="s">
        <v>275</v>
      </c>
      <c r="G1" t="s">
        <v>276</v>
      </c>
      <c r="H1" t="s">
        <v>277</v>
      </c>
      <c r="I1" t="s">
        <v>278</v>
      </c>
      <c r="J1" t="s">
        <v>288</v>
      </c>
      <c r="M1" t="s">
        <v>290</v>
      </c>
    </row>
    <row r="2" spans="1:16" x14ac:dyDescent="0.3">
      <c r="A2" t="s">
        <v>9</v>
      </c>
      <c r="B2" t="s">
        <v>10</v>
      </c>
      <c r="C2" s="2" t="s">
        <v>7</v>
      </c>
      <c r="D2" s="2" t="s">
        <v>8</v>
      </c>
      <c r="E2" t="str">
        <f>[1]!f_info_etfornot(C2)</f>
        <v>是</v>
      </c>
      <c r="F2" s="4">
        <f ca="1">[1]!f_netasset_total2(C2,TODAY(),"",100000000)</f>
        <v>4222.6032809071994</v>
      </c>
      <c r="G2" s="4">
        <f ca="1">[1]!f_netasset_total2(C2,TODAY()-5,"",100000000)</f>
        <v>4251.5554301135007</v>
      </c>
      <c r="H2" s="4">
        <f ca="1">F2-G2</f>
        <v>-28.952149206301328</v>
      </c>
      <c r="I2" s="3">
        <f>[1]!f_unit_total(C2,"2025/12/31",100000000)</f>
        <v>888.29587700000002</v>
      </c>
      <c r="J2" s="8" t="s">
        <v>524</v>
      </c>
      <c r="K2" s="9">
        <v>45995</v>
      </c>
      <c r="L2" s="5">
        <f>[1]!f_unit_floortradingchange(C2,"20251231",100000000)</f>
        <v>-1.9890000000000001</v>
      </c>
      <c r="M2" s="3">
        <f>[1]!f_nav_unit(C2,"2025/12/31")</f>
        <v>4.7535999999999996</v>
      </c>
      <c r="N2" s="8" t="s">
        <v>524</v>
      </c>
      <c r="O2" s="9">
        <v>45995</v>
      </c>
      <c r="P2" s="6">
        <f ca="1">H2-O2</f>
        <v>-46023.9521492063</v>
      </c>
    </row>
    <row r="3" spans="1:16" x14ac:dyDescent="0.3">
      <c r="A3" t="s">
        <v>9</v>
      </c>
      <c r="B3" t="s">
        <v>10</v>
      </c>
      <c r="C3" s="2" t="s">
        <v>218</v>
      </c>
      <c r="D3" s="2" t="s">
        <v>219</v>
      </c>
      <c r="E3" t="str">
        <f>[1]!f_info_etfornot(C3)</f>
        <v>是</v>
      </c>
      <c r="F3" s="4">
        <f ca="1">[1]!f_netasset_total2(C3,TODAY(),"",100000000)</f>
        <v>2998.5139722520003</v>
      </c>
      <c r="G3" s="4">
        <f ca="1">[1]!f_netasset_total2(C3,TODAY()-5,"",100000000)</f>
        <v>3019.2020751359996</v>
      </c>
      <c r="I3" s="3">
        <f>[1]!f_unit_total(C3,"2025/12/31",100000000)</f>
        <v>658.53643999999997</v>
      </c>
      <c r="J3" s="8" t="s">
        <v>525</v>
      </c>
      <c r="K3" s="9" t="s">
        <v>526</v>
      </c>
      <c r="M3" s="3">
        <f>[1]!f_nav_unit(C3,"2025/12/31")</f>
        <v>4.5533000000000001</v>
      </c>
      <c r="N3" s="8" t="s">
        <v>525</v>
      </c>
      <c r="O3" s="9" t="s">
        <v>526</v>
      </c>
    </row>
    <row r="4" spans="1:16" x14ac:dyDescent="0.3">
      <c r="A4" t="s">
        <v>9</v>
      </c>
      <c r="B4" t="s">
        <v>10</v>
      </c>
      <c r="C4" s="2" t="s">
        <v>220</v>
      </c>
      <c r="D4" s="2" t="s">
        <v>221</v>
      </c>
      <c r="E4" t="str">
        <f>[1]!f_info_etfornot(C4)</f>
        <v>是</v>
      </c>
      <c r="I4" s="3">
        <f>[1]!f_unit_total(C4,"2025/12/31",100000000)</f>
        <v>474.2484980000001</v>
      </c>
      <c r="J4" s="10" t="s">
        <v>527</v>
      </c>
      <c r="K4" s="11" t="s">
        <v>253</v>
      </c>
      <c r="N4" s="10" t="s">
        <v>527</v>
      </c>
      <c r="O4" s="11" t="s">
        <v>7</v>
      </c>
    </row>
    <row r="5" spans="1:16" x14ac:dyDescent="0.3">
      <c r="A5" t="s">
        <v>9</v>
      </c>
      <c r="B5" t="s">
        <v>10</v>
      </c>
      <c r="C5" s="2" t="s">
        <v>222</v>
      </c>
      <c r="D5" s="2" t="s">
        <v>8</v>
      </c>
      <c r="E5" t="str">
        <f>[1]!f_info_etfornot(C5)</f>
        <v>是</v>
      </c>
      <c r="I5" s="3">
        <f>[1]!f_unit_total(C5,"2025/12/31",100000000)</f>
        <v>408.18816676</v>
      </c>
      <c r="J5" s="10" t="s">
        <v>528</v>
      </c>
      <c r="K5" s="10" t="str">
        <f>[1]!s_info_name(K4)</f>
        <v>沪深300ETF平安</v>
      </c>
      <c r="N5" s="10" t="s">
        <v>528</v>
      </c>
      <c r="O5" s="10" t="str">
        <f>[1]!s_info_name(O4)</f>
        <v>沪深300ETF</v>
      </c>
    </row>
    <row r="6" spans="1:16" ht="42.45" x14ac:dyDescent="0.3">
      <c r="A6" t="s">
        <v>9</v>
      </c>
      <c r="B6" t="s">
        <v>10</v>
      </c>
      <c r="C6" s="2" t="s">
        <v>223</v>
      </c>
      <c r="D6" s="2" t="s">
        <v>224</v>
      </c>
      <c r="E6" t="str">
        <f>[1]!f_info_etfornot(C6)</f>
        <v>是</v>
      </c>
      <c r="I6" s="3">
        <f>[1]!f_unit_total(C6,"2025/12/31",100000000)</f>
        <v>61.557094999999997</v>
      </c>
      <c r="J6" s="12" t="s">
        <v>529</v>
      </c>
      <c r="K6" s="12" t="s">
        <v>289</v>
      </c>
      <c r="L6" s="13" t="s">
        <v>531</v>
      </c>
      <c r="N6" s="12" t="s">
        <v>529</v>
      </c>
      <c r="O6" s="12" t="s">
        <v>289</v>
      </c>
      <c r="P6" s="13" t="s">
        <v>531</v>
      </c>
    </row>
    <row r="7" spans="1:16" x14ac:dyDescent="0.3">
      <c r="A7" t="s">
        <v>9</v>
      </c>
      <c r="B7" t="s">
        <v>10</v>
      </c>
      <c r="C7" s="2" t="s">
        <v>225</v>
      </c>
      <c r="D7" s="2" t="s">
        <v>226</v>
      </c>
      <c r="E7" t="str">
        <f>[1]!f_info_etfornot(C7)</f>
        <v>是</v>
      </c>
      <c r="I7" s="3">
        <f>[1]!f_unit_total(C7,"2025/12/31",100000000)</f>
        <v>8.4431469999999997</v>
      </c>
      <c r="J7" s="10" t="s">
        <v>530</v>
      </c>
      <c r="K7" s="11" t="s">
        <v>532</v>
      </c>
      <c r="L7" s="11" t="s">
        <v>533</v>
      </c>
      <c r="N7" s="10" t="s">
        <v>530</v>
      </c>
      <c r="O7" s="11" t="s">
        <v>532</v>
      </c>
      <c r="P7" s="11" t="s">
        <v>533</v>
      </c>
    </row>
    <row r="8" spans="1:16" x14ac:dyDescent="0.3">
      <c r="A8" t="s">
        <v>9</v>
      </c>
      <c r="B8" t="s">
        <v>10</v>
      </c>
      <c r="C8" s="2" t="s">
        <v>227</v>
      </c>
      <c r="D8" s="2" t="s">
        <v>228</v>
      </c>
      <c r="E8" t="str">
        <f>[1]!f_info_etfornot(C8)</f>
        <v>是</v>
      </c>
      <c r="I8" s="3">
        <f>[1]!f_unit_total(C8,"2025/12/31",100000000)</f>
        <v>21.923812000000002</v>
      </c>
      <c r="J8" s="8">
        <v>45995</v>
      </c>
      <c r="K8" s="14">
        <f>[1]!WSD(K4,K7:L7,K2,K3,"unit=100000000","TradingCalendar=SSE","rptType=1","Version=1","ShowParams=Y","UnitMask=2","cols=2;rows=20")</f>
        <v>5.0629999999999997</v>
      </c>
      <c r="L8" s="14">
        <v>1.0145</v>
      </c>
      <c r="N8" s="8">
        <v>45995</v>
      </c>
      <c r="O8" s="14">
        <f>[1]!WSD(O4,O7:P7,O2,O3,"unit=100000000","TradingCalendar=SSE","rptType=1","Version=1","ShowParams=Y","UnitMask=2","cols=2;rows=20")</f>
        <v>4.6584000000000003</v>
      </c>
      <c r="P8" s="14">
        <v>899.06887700000004</v>
      </c>
    </row>
    <row r="9" spans="1:16" x14ac:dyDescent="0.3">
      <c r="A9" t="s">
        <v>9</v>
      </c>
      <c r="B9" t="s">
        <v>10</v>
      </c>
      <c r="C9" s="2" t="s">
        <v>229</v>
      </c>
      <c r="D9" s="2" t="s">
        <v>230</v>
      </c>
      <c r="E9" t="str">
        <f>[1]!f_info_etfornot(C9)</f>
        <v>是</v>
      </c>
      <c r="I9" s="3">
        <f>[1]!f_unit_total(C9,"2025/12/31",100000000)</f>
        <v>6.8229980000000001</v>
      </c>
      <c r="J9" s="8">
        <v>45996</v>
      </c>
      <c r="K9" s="14">
        <v>5.1151</v>
      </c>
      <c r="L9" s="14">
        <v>1.0055000000000001</v>
      </c>
      <c r="N9" s="8">
        <v>45996</v>
      </c>
      <c r="O9" s="14">
        <v>4.6974</v>
      </c>
      <c r="P9" s="14">
        <v>900.42787699999997</v>
      </c>
    </row>
    <row r="10" spans="1:16" x14ac:dyDescent="0.3">
      <c r="A10" t="s">
        <v>9</v>
      </c>
      <c r="B10" t="s">
        <v>10</v>
      </c>
      <c r="C10" s="2" t="s">
        <v>231</v>
      </c>
      <c r="D10" s="2" t="s">
        <v>232</v>
      </c>
      <c r="E10" t="str">
        <f>[1]!f_info_etfornot(C10)</f>
        <v>是</v>
      </c>
      <c r="I10" s="3">
        <f>[1]!f_unit_total(C10,"2025/12/31",100000000)</f>
        <v>6.1899420000000003</v>
      </c>
      <c r="J10" s="8">
        <v>45999</v>
      </c>
      <c r="K10" s="14">
        <v>5.1562999999999999</v>
      </c>
      <c r="L10" s="14">
        <v>1.0055000000000001</v>
      </c>
      <c r="N10" s="8">
        <v>45999</v>
      </c>
      <c r="O10" s="14">
        <v>4.7359</v>
      </c>
      <c r="P10" s="14">
        <v>902.37187700000004</v>
      </c>
    </row>
    <row r="11" spans="1:16" x14ac:dyDescent="0.3">
      <c r="A11" t="s">
        <v>9</v>
      </c>
      <c r="B11" t="s">
        <v>10</v>
      </c>
      <c r="C11" s="2" t="s">
        <v>233</v>
      </c>
      <c r="D11" s="2" t="s">
        <v>234</v>
      </c>
      <c r="E11" t="str">
        <f>[1]!f_info_etfornot(C11)</f>
        <v>是</v>
      </c>
      <c r="I11" s="3">
        <f>[1]!f_unit_total(C11,"2025/12/31",100000000)</f>
        <v>5.8892085600000001</v>
      </c>
      <c r="J11" s="8">
        <v>46000</v>
      </c>
      <c r="K11" s="14">
        <v>5.1304999999999996</v>
      </c>
      <c r="L11" s="14">
        <v>1.0055000000000001</v>
      </c>
      <c r="N11" s="8">
        <v>46000</v>
      </c>
      <c r="O11" s="14">
        <v>4.7122000000000002</v>
      </c>
      <c r="P11" s="14">
        <v>899.07787699999994</v>
      </c>
    </row>
    <row r="12" spans="1:16" x14ac:dyDescent="0.3">
      <c r="A12" t="s">
        <v>9</v>
      </c>
      <c r="B12" t="s">
        <v>10</v>
      </c>
      <c r="C12" s="2" t="s">
        <v>235</v>
      </c>
      <c r="D12" s="2" t="s">
        <v>236</v>
      </c>
      <c r="E12" t="str">
        <f>[1]!f_info_etfornot(C12)</f>
        <v>是</v>
      </c>
      <c r="I12" s="3">
        <f>[1]!f_unit_total(C12,"2025/12/31",100000000)</f>
        <v>18.515283850000003</v>
      </c>
      <c r="J12" s="8">
        <v>46001</v>
      </c>
      <c r="K12" s="14">
        <v>5.1246</v>
      </c>
      <c r="L12" s="14">
        <v>0.98750000000000004</v>
      </c>
      <c r="N12" s="8">
        <v>46001</v>
      </c>
      <c r="O12" s="14">
        <v>4.7057000000000002</v>
      </c>
      <c r="P12" s="14">
        <v>897.01687700000002</v>
      </c>
    </row>
    <row r="13" spans="1:16" x14ac:dyDescent="0.3">
      <c r="A13" t="s">
        <v>9</v>
      </c>
      <c r="B13" t="s">
        <v>10</v>
      </c>
      <c r="C13" s="2" t="s">
        <v>237</v>
      </c>
      <c r="D13" s="2" t="s">
        <v>238</v>
      </c>
      <c r="E13" t="str">
        <f>[1]!f_info_etfornot(C13)</f>
        <v>是</v>
      </c>
      <c r="I13" s="3">
        <f>[1]!f_unit_total(C13,"2025/12/31",100000000)</f>
        <v>16.808024</v>
      </c>
      <c r="J13" s="8">
        <v>46002</v>
      </c>
      <c r="K13" s="14">
        <v>5.0838000000000001</v>
      </c>
      <c r="L13" s="14">
        <v>0.98750000000000004</v>
      </c>
      <c r="N13" s="8">
        <v>46002</v>
      </c>
      <c r="O13" s="14">
        <v>4.6654</v>
      </c>
      <c r="P13" s="14">
        <v>895.00987699999996</v>
      </c>
    </row>
    <row r="14" spans="1:16" x14ac:dyDescent="0.3">
      <c r="A14" t="s">
        <v>9</v>
      </c>
      <c r="B14" t="s">
        <v>10</v>
      </c>
      <c r="C14" s="2" t="s">
        <v>239</v>
      </c>
      <c r="D14" s="2" t="s">
        <v>240</v>
      </c>
      <c r="E14" t="str">
        <f>[1]!f_info_etfornot(C14)</f>
        <v>是</v>
      </c>
      <c r="I14" s="3">
        <f>[1]!f_unit_total(C14,"2025/12/31",100000000)</f>
        <v>2.4665809700000003</v>
      </c>
      <c r="J14" s="8">
        <v>46003</v>
      </c>
      <c r="K14" s="14">
        <v>5.1162999999999998</v>
      </c>
      <c r="L14" s="14">
        <v>0.98750000000000004</v>
      </c>
      <c r="N14" s="8">
        <v>46003</v>
      </c>
      <c r="O14" s="14">
        <v>4.6959</v>
      </c>
      <c r="P14" s="14">
        <v>900.08587699999998</v>
      </c>
    </row>
    <row r="15" spans="1:16" x14ac:dyDescent="0.3">
      <c r="A15" t="s">
        <v>9</v>
      </c>
      <c r="B15" t="s">
        <v>10</v>
      </c>
      <c r="C15" s="2" t="s">
        <v>241</v>
      </c>
      <c r="D15" s="2" t="s">
        <v>242</v>
      </c>
      <c r="E15" t="str">
        <f>[1]!f_info_etfornot(C15)</f>
        <v>是</v>
      </c>
      <c r="I15" s="3">
        <f>[1]!f_unit_total(C15,"2025/12/31",100000000)</f>
        <v>6.5296500000000002</v>
      </c>
      <c r="J15" s="8">
        <v>46006</v>
      </c>
      <c r="K15" s="14">
        <v>5.085</v>
      </c>
      <c r="L15" s="14">
        <v>0.98750000000000004</v>
      </c>
      <c r="N15" s="8">
        <v>46006</v>
      </c>
      <c r="O15" s="14">
        <v>4.6684999999999999</v>
      </c>
      <c r="P15" s="14">
        <v>897.79987700000004</v>
      </c>
    </row>
    <row r="16" spans="1:16" x14ac:dyDescent="0.3">
      <c r="A16" t="s">
        <v>9</v>
      </c>
      <c r="B16" t="s">
        <v>10</v>
      </c>
      <c r="C16" s="2" t="s">
        <v>243</v>
      </c>
      <c r="D16" s="2" t="s">
        <v>244</v>
      </c>
      <c r="E16" t="str">
        <f>[1]!f_info_etfornot(C16)</f>
        <v>是</v>
      </c>
      <c r="I16" s="3">
        <f>[1]!f_unit_total(C16,"2025/12/31",100000000)</f>
        <v>6.0164920000000004</v>
      </c>
      <c r="J16" s="8">
        <v>46007</v>
      </c>
      <c r="K16" s="14">
        <v>5.0244</v>
      </c>
      <c r="L16" s="14">
        <v>0.98750000000000004</v>
      </c>
      <c r="N16" s="8">
        <v>46007</v>
      </c>
      <c r="O16" s="14">
        <v>4.6127000000000002</v>
      </c>
      <c r="P16" s="14">
        <v>897.22387700000002</v>
      </c>
    </row>
    <row r="17" spans="1:16" x14ac:dyDescent="0.3">
      <c r="A17" t="s">
        <v>9</v>
      </c>
      <c r="B17" t="s">
        <v>10</v>
      </c>
      <c r="C17" s="2" t="s">
        <v>245</v>
      </c>
      <c r="D17" s="2" t="s">
        <v>246</v>
      </c>
      <c r="E17" t="str">
        <f>[1]!f_info_etfornot(C17)</f>
        <v>是</v>
      </c>
      <c r="I17" s="3">
        <f>[1]!f_unit_total(C17,"2025/12/31",100000000)</f>
        <v>3.9280100899999999</v>
      </c>
      <c r="J17" s="8">
        <v>46008</v>
      </c>
      <c r="K17" s="14">
        <v>5.1154000000000002</v>
      </c>
      <c r="L17" s="14">
        <v>0.98750000000000004</v>
      </c>
      <c r="N17" s="8">
        <v>46008</v>
      </c>
      <c r="O17" s="14">
        <v>4.6977000000000002</v>
      </c>
      <c r="P17" s="14">
        <v>901.60687700000005</v>
      </c>
    </row>
    <row r="18" spans="1:16" x14ac:dyDescent="0.3">
      <c r="A18" t="s">
        <v>9</v>
      </c>
      <c r="B18" t="s">
        <v>10</v>
      </c>
      <c r="C18" s="2" t="s">
        <v>247</v>
      </c>
      <c r="D18" s="2" t="s">
        <v>248</v>
      </c>
      <c r="E18" t="str">
        <f>[1]!f_info_etfornot(C18)</f>
        <v>是</v>
      </c>
      <c r="I18" s="3">
        <f>[1]!f_unit_total(C18,"2025/12/31",100000000)</f>
        <v>4.1506850000000002</v>
      </c>
      <c r="J18" s="8">
        <v>46009</v>
      </c>
      <c r="K18" s="14">
        <v>5.0865</v>
      </c>
      <c r="L18" s="14">
        <v>0.98750000000000004</v>
      </c>
      <c r="N18" s="8">
        <v>46009</v>
      </c>
      <c r="O18" s="14">
        <v>4.6711</v>
      </c>
      <c r="P18" s="14">
        <v>902.488877</v>
      </c>
    </row>
    <row r="19" spans="1:16" x14ac:dyDescent="0.3">
      <c r="A19" t="s">
        <v>9</v>
      </c>
      <c r="B19" t="s">
        <v>10</v>
      </c>
      <c r="C19" s="2" t="s">
        <v>249</v>
      </c>
      <c r="D19" s="2" t="s">
        <v>250</v>
      </c>
      <c r="E19" t="str">
        <f>[1]!f_info_etfornot(C19)</f>
        <v>是</v>
      </c>
      <c r="I19" s="3">
        <f>[1]!f_unit_total(C19,"2025/12/31",100000000)</f>
        <v>3.7868300000000001</v>
      </c>
      <c r="J19" s="8">
        <v>46010</v>
      </c>
      <c r="K19" s="14">
        <v>5.1058000000000003</v>
      </c>
      <c r="L19" s="14">
        <v>0.98750000000000004</v>
      </c>
      <c r="N19" s="8">
        <v>46010</v>
      </c>
      <c r="O19" s="14">
        <v>4.6896000000000004</v>
      </c>
      <c r="P19" s="14">
        <v>900.34687699999995</v>
      </c>
    </row>
    <row r="20" spans="1:16" x14ac:dyDescent="0.3">
      <c r="A20" t="s">
        <v>9</v>
      </c>
      <c r="B20" t="s">
        <v>10</v>
      </c>
      <c r="C20" s="2" t="s">
        <v>251</v>
      </c>
      <c r="D20" s="2" t="s">
        <v>252</v>
      </c>
      <c r="E20" t="str">
        <f>[1]!f_info_etfornot(C20)</f>
        <v>是</v>
      </c>
      <c r="I20" s="3">
        <f>[1]!f_unit_total(C20,"2025/12/31",100000000)</f>
        <v>4.2406499999999996</v>
      </c>
      <c r="J20" s="8">
        <v>46013</v>
      </c>
      <c r="K20" s="14">
        <v>5.1532</v>
      </c>
      <c r="L20" s="14">
        <v>0.98750000000000004</v>
      </c>
      <c r="N20" s="8">
        <v>46013</v>
      </c>
      <c r="O20" s="14">
        <v>4.7337999999999996</v>
      </c>
      <c r="P20" s="14">
        <v>895.42387699999995</v>
      </c>
    </row>
    <row r="21" spans="1:16" x14ac:dyDescent="0.3">
      <c r="A21" t="s">
        <v>9</v>
      </c>
      <c r="B21" t="s">
        <v>10</v>
      </c>
      <c r="C21" s="2" t="s">
        <v>253</v>
      </c>
      <c r="D21" s="2" t="s">
        <v>254</v>
      </c>
      <c r="E21" t="str">
        <f>[1]!f_info_etfornot(C21)</f>
        <v>是</v>
      </c>
      <c r="I21" s="3">
        <f>[1]!f_unit_total(C21,"2025/12/31",100000000)</f>
        <v>0.96050000000000002</v>
      </c>
      <c r="J21" s="8">
        <v>46014</v>
      </c>
      <c r="K21" s="14">
        <v>5.1642000000000001</v>
      </c>
      <c r="L21" s="14">
        <v>0.98750000000000004</v>
      </c>
      <c r="N21" s="8">
        <v>46014</v>
      </c>
      <c r="O21" s="14">
        <v>4.7431999999999999</v>
      </c>
      <c r="P21" s="14">
        <v>890.40187700000001</v>
      </c>
    </row>
    <row r="22" spans="1:16" x14ac:dyDescent="0.3">
      <c r="A22" t="s">
        <v>9</v>
      </c>
      <c r="B22" t="s">
        <v>10</v>
      </c>
      <c r="C22" s="2" t="s">
        <v>255</v>
      </c>
      <c r="D22" s="2" t="s">
        <v>256</v>
      </c>
      <c r="E22" t="str">
        <f>[1]!f_info_etfornot(C22)</f>
        <v>是</v>
      </c>
      <c r="I22" s="3">
        <f>[1]!f_unit_total(C22,"2025/12/31",100000000)</f>
        <v>0.78046342000000002</v>
      </c>
      <c r="J22" s="8">
        <v>46015</v>
      </c>
      <c r="K22" s="14">
        <v>5.1792999999999996</v>
      </c>
      <c r="L22" s="14">
        <v>0.97850000000000004</v>
      </c>
      <c r="N22" s="8">
        <v>46015</v>
      </c>
      <c r="O22" s="14">
        <v>4.7569999999999997</v>
      </c>
      <c r="P22" s="14">
        <v>891.40987700000005</v>
      </c>
    </row>
    <row r="23" spans="1:16" x14ac:dyDescent="0.3">
      <c r="A23" t="s">
        <v>9</v>
      </c>
      <c r="B23" t="s">
        <v>10</v>
      </c>
      <c r="C23" s="2" t="s">
        <v>257</v>
      </c>
      <c r="D23" s="2" t="s">
        <v>258</v>
      </c>
      <c r="E23" t="str">
        <f>[1]!f_info_etfornot(C23)</f>
        <v>是</v>
      </c>
      <c r="I23" s="3">
        <f>[1]!f_unit_total(C23,"2025/12/31",100000000)</f>
        <v>2.4461119999999998</v>
      </c>
      <c r="J23" s="8">
        <v>46016</v>
      </c>
      <c r="K23" s="14">
        <v>5.1891999999999996</v>
      </c>
      <c r="L23" s="14">
        <v>0.97850000000000004</v>
      </c>
      <c r="N23" s="8">
        <v>46016</v>
      </c>
      <c r="O23" s="14">
        <v>4.7666000000000004</v>
      </c>
      <c r="P23" s="14">
        <v>891.517877</v>
      </c>
    </row>
    <row r="24" spans="1:16" x14ac:dyDescent="0.3">
      <c r="A24" t="s">
        <v>9</v>
      </c>
      <c r="B24" t="s">
        <v>10</v>
      </c>
      <c r="C24" s="2" t="s">
        <v>259</v>
      </c>
      <c r="D24" s="2" t="s">
        <v>260</v>
      </c>
      <c r="E24" t="str">
        <f>[1]!f_info_etfornot(C24)</f>
        <v>是</v>
      </c>
      <c r="I24" s="3">
        <f>[1]!f_unit_total(C24,"2025/12/31",100000000)</f>
        <v>1.9626060000000001</v>
      </c>
      <c r="J24" s="8">
        <v>46017</v>
      </c>
      <c r="K24" s="14">
        <v>5.2050999999999998</v>
      </c>
      <c r="L24" s="14">
        <v>0.97850000000000004</v>
      </c>
      <c r="N24" s="8">
        <v>46017</v>
      </c>
      <c r="O24" s="14">
        <v>4.7816999999999998</v>
      </c>
      <c r="P24" s="14">
        <v>893.12887699999999</v>
      </c>
    </row>
    <row r="25" spans="1:16" x14ac:dyDescent="0.3">
      <c r="A25" t="s">
        <v>9</v>
      </c>
      <c r="B25" t="s">
        <v>10</v>
      </c>
      <c r="C25" s="2" t="s">
        <v>261</v>
      </c>
      <c r="D25" s="2" t="s">
        <v>262</v>
      </c>
      <c r="E25" t="str">
        <f>[1]!f_info_etfornot(C25)</f>
        <v>是</v>
      </c>
      <c r="I25" s="3">
        <f>[1]!f_unit_total(C25,"2025/12/31",100000000)</f>
        <v>0.36779299999999998</v>
      </c>
      <c r="J25" s="8">
        <v>46020</v>
      </c>
      <c r="K25" s="14">
        <v>5.1849999999999996</v>
      </c>
      <c r="L25" s="14">
        <v>0.96950000000000003</v>
      </c>
      <c r="N25" s="8">
        <v>46020</v>
      </c>
      <c r="O25" s="14">
        <v>4.7632000000000003</v>
      </c>
      <c r="P25" s="14">
        <v>890.22187699999995</v>
      </c>
    </row>
    <row r="26" spans="1:16" x14ac:dyDescent="0.3">
      <c r="A26" t="s">
        <v>9</v>
      </c>
      <c r="B26" t="s">
        <v>10</v>
      </c>
      <c r="C26" s="2" t="s">
        <v>263</v>
      </c>
      <c r="D26" s="2" t="s">
        <v>264</v>
      </c>
      <c r="E26" t="str">
        <f>[1]!f_info_etfornot(C26)</f>
        <v>是</v>
      </c>
      <c r="I26" s="3">
        <f>[1]!f_unit_total(C26,"2025/12/31",100000000)</f>
        <v>1.77542</v>
      </c>
      <c r="J26" s="8">
        <v>46021</v>
      </c>
      <c r="K26" s="14">
        <v>5.2004999999999999</v>
      </c>
      <c r="L26" s="14">
        <v>0.96950000000000003</v>
      </c>
      <c r="N26" s="8">
        <v>46021</v>
      </c>
      <c r="O26" s="14">
        <v>4.7755000000000001</v>
      </c>
      <c r="P26" s="14">
        <v>890.28487700000005</v>
      </c>
    </row>
    <row r="27" spans="1:16" x14ac:dyDescent="0.3">
      <c r="A27" t="s">
        <v>9</v>
      </c>
      <c r="B27" t="s">
        <v>10</v>
      </c>
      <c r="C27" s="2" t="s">
        <v>265</v>
      </c>
      <c r="D27" s="2" t="s">
        <v>266</v>
      </c>
      <c r="E27" t="str">
        <f>[1]!f_info_etfornot(C27)</f>
        <v>是</v>
      </c>
      <c r="I27" s="3">
        <f>[1]!f_unit_total(C27,"2025/12/31",100000000)</f>
        <v>0.88463199999999997</v>
      </c>
      <c r="J27" s="8">
        <v>46022</v>
      </c>
      <c r="K27" s="14">
        <v>5.1778000000000004</v>
      </c>
      <c r="L27" s="14">
        <v>0.96050000000000002</v>
      </c>
      <c r="N27" s="8">
        <v>46022</v>
      </c>
      <c r="O27" s="14">
        <v>4.7535999999999996</v>
      </c>
      <c r="P27" s="14">
        <v>888.29587700000002</v>
      </c>
    </row>
    <row r="28" spans="1:16" x14ac:dyDescent="0.3">
      <c r="A28" t="s">
        <v>9</v>
      </c>
      <c r="B28" t="s">
        <v>10</v>
      </c>
      <c r="C28" s="2" t="s">
        <v>267</v>
      </c>
      <c r="D28" s="2" t="s">
        <v>268</v>
      </c>
      <c r="E28" t="str">
        <f>[1]!f_info_etfornot(C28)</f>
        <v>是</v>
      </c>
      <c r="I28" s="3">
        <f>[1]!f_unit_total(C28,"2025/12/31",100000000)</f>
        <v>1.1425810000000001</v>
      </c>
      <c r="J28" s="3"/>
      <c r="K28" s="3"/>
    </row>
    <row r="29" spans="1:16" x14ac:dyDescent="0.3">
      <c r="A29" t="s">
        <v>9</v>
      </c>
      <c r="B29" t="s">
        <v>10</v>
      </c>
      <c r="C29" s="2" t="s">
        <v>269</v>
      </c>
      <c r="D29" s="2" t="s">
        <v>270</v>
      </c>
      <c r="E29" t="str">
        <f>[1]!f_info_etfornot(C29)</f>
        <v>是</v>
      </c>
      <c r="I29" s="3">
        <f>[1]!f_unit_total(C29,"2025/12/31",100000000)</f>
        <v>0.72419999999999995</v>
      </c>
      <c r="J29" s="3"/>
      <c r="K29" s="3"/>
    </row>
    <row r="30" spans="1:16" x14ac:dyDescent="0.3">
      <c r="A30" t="s">
        <v>9</v>
      </c>
      <c r="B30" t="s">
        <v>10</v>
      </c>
      <c r="C30" s="2" t="s">
        <v>271</v>
      </c>
      <c r="D30" s="2" t="s">
        <v>272</v>
      </c>
      <c r="E30" t="str">
        <f>[1]!f_info_etfornot(C30)</f>
        <v>是</v>
      </c>
      <c r="I30" s="3">
        <f>[1]!f_unit_total(C30,"2025/12/31",100000000)</f>
        <v>0.14399200000000001</v>
      </c>
      <c r="J30" s="3"/>
      <c r="K30" s="3"/>
    </row>
    <row r="31" spans="1:16" x14ac:dyDescent="0.3">
      <c r="A31" t="s">
        <v>9</v>
      </c>
      <c r="B31" t="s">
        <v>10</v>
      </c>
      <c r="C31" s="2" t="s">
        <v>273</v>
      </c>
      <c r="D31" s="2" t="s">
        <v>274</v>
      </c>
      <c r="E31" t="str">
        <f>[1]!f_info_etfornot(C31)</f>
        <v>是</v>
      </c>
      <c r="I31" s="3">
        <f>[1]!f_unit_total(C31,"2025/12/31",100000000)</f>
        <v>0.42016186</v>
      </c>
      <c r="J31" s="3"/>
      <c r="K31" s="3"/>
    </row>
  </sheetData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config_export_etf_and_index_raw</vt:lpstr>
      <vt:lpstr>全部ETF处理</vt:lpstr>
      <vt:lpstr>沪深300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沛林 黄</cp:lastModifiedBy>
  <dcterms:created xsi:type="dcterms:W3CDTF">2026-01-04T12:25:22Z</dcterms:created>
  <dcterms:modified xsi:type="dcterms:W3CDTF">2026-01-04T14:21:33Z</dcterms:modified>
</cp:coreProperties>
</file>